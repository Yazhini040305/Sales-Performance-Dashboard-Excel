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xr:revisionPtr revIDLastSave="0" documentId="8_{92F51D63-FFDD-4065-B4BA-76DE8D6DF843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ivot_table" sheetId="4" r:id="rId1"/>
    <sheet name="sales_dataset" sheetId="1" r:id="rId2"/>
    <sheet name="DASHBOARD" sheetId="5" r:id="rId3"/>
    <sheet name="Analysis" sheetId="2" r:id="rId4"/>
    <sheet name="LOOKUP" sheetId="3" r:id="rId5"/>
  </sheets>
  <definedNames>
    <definedName name="_xlnm._FilterDatabase" localSheetId="1" hidden="1">sales_dataset!$A$1:$L$1</definedName>
    <definedName name="Slicer_Category">#N/A</definedName>
    <definedName name="Slicer_Category1">#N/A</definedName>
    <definedName name="Slicer_PaymentMode">#N/A</definedName>
    <definedName name="Slicer_PaymentMode1">#N/A</definedName>
    <definedName name="Slicer_State">#N/A</definedName>
    <definedName name="Slicer_State1">#N/A</definedName>
  </definedNames>
  <calcPr calcId="191028"/>
  <pivotCaches>
    <pivotCache cacheId="33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M8" i="5"/>
  <c r="J8" i="5"/>
  <c r="G8" i="5"/>
  <c r="D8" i="5"/>
  <c r="A8" i="5"/>
  <c r="B6" i="2"/>
  <c r="B5" i="2"/>
  <c r="B7" i="2"/>
  <c r="E4" i="2"/>
  <c r="E3" i="2"/>
  <c r="E2" i="2"/>
  <c r="F4" i="3"/>
  <c r="F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B3" i="3"/>
  <c r="B2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4" i="3"/>
  <c r="B5" i="3"/>
  <c r="B6" i="3"/>
  <c r="B7" i="3"/>
  <c r="B8" i="3"/>
  <c r="B9" i="3"/>
  <c r="B10" i="3"/>
  <c r="B11" i="3"/>
  <c r="B12" i="3"/>
  <c r="B13" i="3"/>
  <c r="B22" i="2"/>
  <c r="B21" i="2"/>
  <c r="B20" i="2"/>
  <c r="B19" i="2"/>
  <c r="B18" i="2"/>
  <c r="B16" i="2"/>
  <c r="B15" i="2"/>
  <c r="B14" i="2"/>
  <c r="B10" i="2"/>
  <c r="B12" i="2"/>
  <c r="B11" i="2"/>
  <c r="B8" i="2"/>
  <c r="B3" i="2"/>
  <c r="B2" i="2"/>
  <c r="B1" i="2"/>
</calcChain>
</file>

<file path=xl/sharedStrings.xml><?xml version="1.0" encoding="utf-8"?>
<sst xmlns="http://schemas.openxmlformats.org/spreadsheetml/2006/main" count="11655" uniqueCount="1895">
  <si>
    <t>Category</t>
  </si>
  <si>
    <t>Sum of Amount</t>
  </si>
  <si>
    <t>Sum of Profit</t>
  </si>
  <si>
    <t>State</t>
  </si>
  <si>
    <t>Sum of Quantity</t>
  </si>
  <si>
    <t>PaymentMode</t>
  </si>
  <si>
    <t>Electronics</t>
  </si>
  <si>
    <t>California</t>
  </si>
  <si>
    <t>COD</t>
  </si>
  <si>
    <t>Sub-Category</t>
  </si>
  <si>
    <t>Furniture</t>
  </si>
  <si>
    <t>Florida</t>
  </si>
  <si>
    <t>Credit Card</t>
  </si>
  <si>
    <t>Electronic Games</t>
  </si>
  <si>
    <t>Office Supplies</t>
  </si>
  <si>
    <t>Illinois</t>
  </si>
  <si>
    <t>Debit Card</t>
  </si>
  <si>
    <t>Laptops</t>
  </si>
  <si>
    <t>Grand Total</t>
  </si>
  <si>
    <t>New York</t>
  </si>
  <si>
    <t>EMI</t>
  </si>
  <si>
    <t>Phones</t>
  </si>
  <si>
    <t>Ohio</t>
  </si>
  <si>
    <t>UPI</t>
  </si>
  <si>
    <t>Printers</t>
  </si>
  <si>
    <t>Texas</t>
  </si>
  <si>
    <t>Electronics Total</t>
  </si>
  <si>
    <t>Year-Month</t>
  </si>
  <si>
    <t>Bookcases</t>
  </si>
  <si>
    <t>2020-03</t>
  </si>
  <si>
    <t>Chairs</t>
  </si>
  <si>
    <t>2020-04</t>
  </si>
  <si>
    <t>Sofas</t>
  </si>
  <si>
    <t>2020-05</t>
  </si>
  <si>
    <t>Tables</t>
  </si>
  <si>
    <t>2020-06</t>
  </si>
  <si>
    <t>Furniture Total</t>
  </si>
  <si>
    <t>2020-07</t>
  </si>
  <si>
    <t>Binders</t>
  </si>
  <si>
    <t>2020-08</t>
  </si>
  <si>
    <t>Markers</t>
  </si>
  <si>
    <t>2020-09</t>
  </si>
  <si>
    <t>Paper</t>
  </si>
  <si>
    <t>2020-10</t>
  </si>
  <si>
    <t>Pens</t>
  </si>
  <si>
    <t>2020-11</t>
  </si>
  <si>
    <t>Office Supplies Total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</si>
  <si>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</si>
  <si>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</si>
  <si>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</si>
  <si>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</si>
  <si>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</si>
  <si>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</si>
  <si>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</si>
  <si>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</si>
  <si>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</si>
  <si>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</si>
  <si>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</si>
  <si>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</si>
  <si>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</si>
  <si>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</si>
  <si>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</si>
  <si>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</si>
  <si>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</si>
  <si>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</si>
  <si>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</si>
  <si>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</si>
  <si>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</si>
  <si>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</si>
  <si>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</si>
  <si>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</si>
  <si>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</si>
  <si>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</si>
  <si>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</si>
  <si>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</si>
  <si>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</si>
  <si>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</si>
  <si>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</si>
  <si>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</si>
  <si>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</si>
  <si>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</si>
  <si>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</si>
  <si>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</si>
  <si>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</si>
  <si>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</si>
  <si>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</si>
  <si>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</si>
  <si>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</si>
  <si>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</si>
  <si>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</si>
  <si>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</si>
  <si>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</si>
  <si>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</si>
  <si>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</si>
  <si>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</si>
  <si>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</si>
  <si>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</si>
  <si>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</si>
  <si>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</si>
  <si>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ORDER ID</t>
  </si>
  <si>
    <t>Amount</t>
  </si>
  <si>
    <t>Profit</t>
  </si>
  <si>
    <t>Quantity</t>
  </si>
  <si>
    <t>Order Date</t>
  </si>
  <si>
    <t>CustomerName</t>
  </si>
  <si>
    <t>City</t>
  </si>
  <si>
    <t>B-25936</t>
  </si>
  <si>
    <t>Patrick Williams</t>
  </si>
  <si>
    <t>Rochester</t>
  </si>
  <si>
    <t>4/15/2022</t>
  </si>
  <si>
    <t>Susan Burke</t>
  </si>
  <si>
    <t>Austin</t>
  </si>
  <si>
    <t>8/29/2022</t>
  </si>
  <si>
    <t>Brent Hernandez</t>
  </si>
  <si>
    <t>B-25861</t>
  </si>
  <si>
    <t>3/28/2022</t>
  </si>
  <si>
    <t>Tammy Anthony</t>
  </si>
  <si>
    <t>Cleveland</t>
  </si>
  <si>
    <t>9/22/2022</t>
  </si>
  <si>
    <t>Cassandra Farley</t>
  </si>
  <si>
    <t>Orlando</t>
  </si>
  <si>
    <t>B-25004</t>
  </si>
  <si>
    <t>6/17/2020</t>
  </si>
  <si>
    <t>Jennifer Marshall</t>
  </si>
  <si>
    <t>San Francisco</t>
  </si>
  <si>
    <t>Frank Garcia</t>
  </si>
  <si>
    <t>Buffalo</t>
  </si>
  <si>
    <t>B-25945</t>
  </si>
  <si>
    <t>Tanya Thomas MD</t>
  </si>
  <si>
    <t>Dallas</t>
  </si>
  <si>
    <t>B-26445</t>
  </si>
  <si>
    <t>Christopher Rogers</t>
  </si>
  <si>
    <t>Chicago</t>
  </si>
  <si>
    <t>B-25809</t>
  </si>
  <si>
    <t>Kelly Smith</t>
  </si>
  <si>
    <t>Sabrina Hartman</t>
  </si>
  <si>
    <t>Tampa</t>
  </si>
  <si>
    <t>B-25441</t>
  </si>
  <si>
    <t>6/24/2022</t>
  </si>
  <si>
    <t>Jeffrey Weber</t>
  </si>
  <si>
    <t>Andrew Krueger</t>
  </si>
  <si>
    <t>B-25738</t>
  </si>
  <si>
    <t>5/15/2021</t>
  </si>
  <si>
    <t>Albert Alexander Jr.</t>
  </si>
  <si>
    <t>1/13/2022</t>
  </si>
  <si>
    <t>Teresa Perez</t>
  </si>
  <si>
    <t>B-25241</t>
  </si>
  <si>
    <t>7/18/2021</t>
  </si>
  <si>
    <t>John Munoz</t>
  </si>
  <si>
    <t>David Clark</t>
  </si>
  <si>
    <t>B-26507</t>
  </si>
  <si>
    <t>12/16/2023</t>
  </si>
  <si>
    <t>Janet Guerrero</t>
  </si>
  <si>
    <t>B-26508</t>
  </si>
  <si>
    <t>2/25/2024</t>
  </si>
  <si>
    <t>Christopher Kirk</t>
  </si>
  <si>
    <t>Miami</t>
  </si>
  <si>
    <t>6/15/2021</t>
  </si>
  <si>
    <t>Eric Stevens</t>
  </si>
  <si>
    <t>B-25267</t>
  </si>
  <si>
    <t>8/21/2022</t>
  </si>
  <si>
    <t>Michael Bell</t>
  </si>
  <si>
    <t>San Diego</t>
  </si>
  <si>
    <t>B-25427</t>
  </si>
  <si>
    <t>Richard Blair</t>
  </si>
  <si>
    <t>B-25901</t>
  </si>
  <si>
    <t>10/20/2020</t>
  </si>
  <si>
    <t>Jeffrey Middleton</t>
  </si>
  <si>
    <t>Veronica Kelley</t>
  </si>
  <si>
    <t>10/17/2021</t>
  </si>
  <si>
    <t>Leslie Bean</t>
  </si>
  <si>
    <t>Springfield</t>
  </si>
  <si>
    <t>B-26357</t>
  </si>
  <si>
    <t>Brandi Vasquez</t>
  </si>
  <si>
    <t>B-25501</t>
  </si>
  <si>
    <t>2/24/2025</t>
  </si>
  <si>
    <t>Michelle Anderson</t>
  </si>
  <si>
    <t>B-26565</t>
  </si>
  <si>
    <t>Maria Galvan</t>
  </si>
  <si>
    <t>Columbus</t>
  </si>
  <si>
    <t>B-26443</t>
  </si>
  <si>
    <t>3/21/2023</t>
  </si>
  <si>
    <t>Dale Craig</t>
  </si>
  <si>
    <t>12/28/2023</t>
  </si>
  <si>
    <t>Joseph Hooper</t>
  </si>
  <si>
    <t>7/15/2023</t>
  </si>
  <si>
    <t>Jennifer Chase</t>
  </si>
  <si>
    <t>B-25044</t>
  </si>
  <si>
    <t>4/16/2024</t>
  </si>
  <si>
    <t>April Welch</t>
  </si>
  <si>
    <t>B-26019</t>
  </si>
  <si>
    <t>3/14/2025</t>
  </si>
  <si>
    <t>Elizabeth Hernandez</t>
  </si>
  <si>
    <t>B-25198</t>
  </si>
  <si>
    <t>4/25/2023</t>
  </si>
  <si>
    <t>Cynthia Ferguson</t>
  </si>
  <si>
    <t>B-26790</t>
  </si>
  <si>
    <t>9/21/2020</t>
  </si>
  <si>
    <t>Jennifer Cooke</t>
  </si>
  <si>
    <t>B-26332</t>
  </si>
  <si>
    <t>George Foster</t>
  </si>
  <si>
    <t>11/16/2021</t>
  </si>
  <si>
    <t>Nicholas Anderson</t>
  </si>
  <si>
    <t>8/17/2022</t>
  </si>
  <si>
    <t>Emily Ellison</t>
  </si>
  <si>
    <t>Los Angeles</t>
  </si>
  <si>
    <t>B-26592</t>
  </si>
  <si>
    <t>James Hernandez</t>
  </si>
  <si>
    <t>B-26841</t>
  </si>
  <si>
    <t>Jill Jones</t>
  </si>
  <si>
    <t>New York City</t>
  </si>
  <si>
    <t>B-25156</t>
  </si>
  <si>
    <t>8/29/2021</t>
  </si>
  <si>
    <t>Tom Lawson</t>
  </si>
  <si>
    <t>B-25226</t>
  </si>
  <si>
    <t>4/23/2024</t>
  </si>
  <si>
    <t>Nicole Warren</t>
  </si>
  <si>
    <t>B-26034</t>
  </si>
  <si>
    <t>Aaron Johnson</t>
  </si>
  <si>
    <t>B-26978</t>
  </si>
  <si>
    <t>Roger Harris</t>
  </si>
  <si>
    <t>B-25387</t>
  </si>
  <si>
    <t>Amy Thompson</t>
  </si>
  <si>
    <t>Cincinnati</t>
  </si>
  <si>
    <t>B-25591</t>
  </si>
  <si>
    <t>12/25/2022</t>
  </si>
  <si>
    <t>Randy Johnson</t>
  </si>
  <si>
    <t>B-26293</t>
  </si>
  <si>
    <t>11/26/2021</t>
  </si>
  <si>
    <t>Michael Hunt</t>
  </si>
  <si>
    <t>B-26980</t>
  </si>
  <si>
    <t>2/21/2024</t>
  </si>
  <si>
    <t>Mary Johnson</t>
  </si>
  <si>
    <t>10/31/2022</t>
  </si>
  <si>
    <t>Joseph Knight</t>
  </si>
  <si>
    <t>Peoria</t>
  </si>
  <si>
    <t>B-26883</t>
  </si>
  <si>
    <t>11/23/2020</t>
  </si>
  <si>
    <t>Christian Jones</t>
  </si>
  <si>
    <t>B-26287</t>
  </si>
  <si>
    <t>Renee Solomon</t>
  </si>
  <si>
    <t>B-26776</t>
  </si>
  <si>
    <t>6/27/2023</t>
  </si>
  <si>
    <t>David Padilla</t>
  </si>
  <si>
    <t>12/27/2024</t>
  </si>
  <si>
    <t>Connor Morgan</t>
  </si>
  <si>
    <t>7/25/2021</t>
  </si>
  <si>
    <t>Robert Stone</t>
  </si>
  <si>
    <t>B-25511</t>
  </si>
  <si>
    <t>1/29/2025</t>
  </si>
  <si>
    <t>Samuel Hayes</t>
  </si>
  <si>
    <t>B-25885</t>
  </si>
  <si>
    <t>Dawn Howard</t>
  </si>
  <si>
    <t>Houston</t>
  </si>
  <si>
    <t>B-26724</t>
  </si>
  <si>
    <t>Roberto Parrish</t>
  </si>
  <si>
    <t>B-26470</t>
  </si>
  <si>
    <t>Morgan Montes</t>
  </si>
  <si>
    <t>6/18/2021</t>
  </si>
  <si>
    <t>Christine Mosley</t>
  </si>
  <si>
    <t>5/27/2023</t>
  </si>
  <si>
    <t>Ashley Rodriguez</t>
  </si>
  <si>
    <t>Elizabeth King</t>
  </si>
  <si>
    <t>B-26910</t>
  </si>
  <si>
    <t>4/29/2024</t>
  </si>
  <si>
    <t>Mr. Ralph Garcia Jr.</t>
  </si>
  <si>
    <t>B-26251</t>
  </si>
  <si>
    <t>Brenda Murphy</t>
  </si>
  <si>
    <t>B-25131</t>
  </si>
  <si>
    <t>6/27/2022</t>
  </si>
  <si>
    <t>Timothy Murphy</t>
  </si>
  <si>
    <t>B-25200</t>
  </si>
  <si>
    <t>Marissa Hartman</t>
  </si>
  <si>
    <t>B-25829</t>
  </si>
  <si>
    <t>10/31/2021</t>
  </si>
  <si>
    <t>Anthony Barnett</t>
  </si>
  <si>
    <t>B-26843</t>
  </si>
  <si>
    <t>7/31/2021</t>
  </si>
  <si>
    <t>Megan Williams</t>
  </si>
  <si>
    <t>B-26628</t>
  </si>
  <si>
    <t>9/19/2024</t>
  </si>
  <si>
    <t>George Ashley</t>
  </si>
  <si>
    <t>Sara Bailey</t>
  </si>
  <si>
    <t>B-26601</t>
  </si>
  <si>
    <t>3/13/2024</t>
  </si>
  <si>
    <t>Melinda Montoya</t>
  </si>
  <si>
    <t>B-25742</t>
  </si>
  <si>
    <t>Taylor White</t>
  </si>
  <si>
    <t>B-25979</t>
  </si>
  <si>
    <t>5/13/2022</t>
  </si>
  <si>
    <t>Andrew Kirby</t>
  </si>
  <si>
    <t>B-26571</t>
  </si>
  <si>
    <t>10/20/2022</t>
  </si>
  <si>
    <t>Kimberly Smith</t>
  </si>
  <si>
    <t>B-25884</t>
  </si>
  <si>
    <t>Sean Elliott</t>
  </si>
  <si>
    <t>5/18/2021</t>
  </si>
  <si>
    <t>Wanda West</t>
  </si>
  <si>
    <t>B-26622</t>
  </si>
  <si>
    <t>Timothy Jensen</t>
  </si>
  <si>
    <t>B-26041</t>
  </si>
  <si>
    <t>2/22/2021</t>
  </si>
  <si>
    <t>Matthew James</t>
  </si>
  <si>
    <t>Jerry Alvarado</t>
  </si>
  <si>
    <t>B-25703</t>
  </si>
  <si>
    <t>4/19/2023</t>
  </si>
  <si>
    <t>Steven Acosta</t>
  </si>
  <si>
    <t>10/29/2023</t>
  </si>
  <si>
    <t>Lindsay Jackson</t>
  </si>
  <si>
    <t>B-26095</t>
  </si>
  <si>
    <t>10/20/2021</t>
  </si>
  <si>
    <t>Leroy Harris</t>
  </si>
  <si>
    <t>B-26803</t>
  </si>
  <si>
    <t>5/16/2022</t>
  </si>
  <si>
    <t>Elizabeth White</t>
  </si>
  <si>
    <t>B-26219</t>
  </si>
  <si>
    <t>8/19/2020</t>
  </si>
  <si>
    <t>Mark Padilla</t>
  </si>
  <si>
    <t>Anthony Lane</t>
  </si>
  <si>
    <t>B-26352</t>
  </si>
  <si>
    <t>7/18/2023</t>
  </si>
  <si>
    <t>Marcus Brown</t>
  </si>
  <si>
    <t>Annette Pierce</t>
  </si>
  <si>
    <t>B-25553</t>
  </si>
  <si>
    <t>5/30/2024</t>
  </si>
  <si>
    <t>Karen Johnson</t>
  </si>
  <si>
    <t>B-26740</t>
  </si>
  <si>
    <t>9/27/2023</t>
  </si>
  <si>
    <t>Stephanie Manning</t>
  </si>
  <si>
    <t>1/30/2025</t>
  </si>
  <si>
    <t>Logan Galloway</t>
  </si>
  <si>
    <t>B-26157</t>
  </si>
  <si>
    <t>12/14/2023</t>
  </si>
  <si>
    <t>Sierra Rios</t>
  </si>
  <si>
    <t>B-25705</t>
  </si>
  <si>
    <t>4/27/2021</t>
  </si>
  <si>
    <t>Ann Mooney</t>
  </si>
  <si>
    <t>B-25894</t>
  </si>
  <si>
    <t>Tammy Bell</t>
  </si>
  <si>
    <t>B-26654</t>
  </si>
  <si>
    <t>2/18/2021</t>
  </si>
  <si>
    <t>Mrs. Jennifer Lewis</t>
  </si>
  <si>
    <t>B-25492</t>
  </si>
  <si>
    <t>12/14/2021</t>
  </si>
  <si>
    <t>Tina Blake</t>
  </si>
  <si>
    <t>11/30/2020</t>
  </si>
  <si>
    <t>Clarence Cooke</t>
  </si>
  <si>
    <t>B-25603</t>
  </si>
  <si>
    <t>11/14/2024</t>
  </si>
  <si>
    <t>Jamie Brewer</t>
  </si>
  <si>
    <t>4/18/2020</t>
  </si>
  <si>
    <t>Lauren Boyer</t>
  </si>
  <si>
    <t>B-26464</t>
  </si>
  <si>
    <t>Zachary Perez</t>
  </si>
  <si>
    <t>Brian Green</t>
  </si>
  <si>
    <t>B-25398</t>
  </si>
  <si>
    <t>Sandra Perkins</t>
  </si>
  <si>
    <t>Heather Bell</t>
  </si>
  <si>
    <t>B-26557</t>
  </si>
  <si>
    <t>5/30/2022</t>
  </si>
  <si>
    <t>Katherine Williams</t>
  </si>
  <si>
    <t>B-26136</t>
  </si>
  <si>
    <t>6/13/2021</t>
  </si>
  <si>
    <t>Ronald Good</t>
  </si>
  <si>
    <t>B-25970</t>
  </si>
  <si>
    <t>Kevin Cooper</t>
  </si>
  <si>
    <t>B-26454</t>
  </si>
  <si>
    <t>5/17/2020</t>
  </si>
  <si>
    <t>Becky Leach</t>
  </si>
  <si>
    <t>B-25106</t>
  </si>
  <si>
    <t>Luke Saunders</t>
  </si>
  <si>
    <t>5/28/2024</t>
  </si>
  <si>
    <t>Dr. Jennifer Benton DVM</t>
  </si>
  <si>
    <t>B-26485</t>
  </si>
  <si>
    <t>Marisa Prince</t>
  </si>
  <si>
    <t>B-26939</t>
  </si>
  <si>
    <t>Theresa Medina</t>
  </si>
  <si>
    <t>B-26213</t>
  </si>
  <si>
    <t>Terri Madden</t>
  </si>
  <si>
    <t>B-26885</t>
  </si>
  <si>
    <t>2/20/2024</t>
  </si>
  <si>
    <t>Peter Castro</t>
  </si>
  <si>
    <t>B-25024</t>
  </si>
  <si>
    <t>1/15/2025</t>
  </si>
  <si>
    <t>Christopher Stone</t>
  </si>
  <si>
    <t>3/28/2021</t>
  </si>
  <si>
    <t>Megan Pitts</t>
  </si>
  <si>
    <t>B-26191</t>
  </si>
  <si>
    <t>6/21/2020</t>
  </si>
  <si>
    <t>James Bonilla</t>
  </si>
  <si>
    <t>B-26587</t>
  </si>
  <si>
    <t>Angela Lyons</t>
  </si>
  <si>
    <t>B-25646</t>
  </si>
  <si>
    <t>8/24/2020</t>
  </si>
  <si>
    <t>Sharon Wilkins</t>
  </si>
  <si>
    <t>B-25193</t>
  </si>
  <si>
    <t>Angela Todd</t>
  </si>
  <si>
    <t>B-25104</t>
  </si>
  <si>
    <t>11/28/2020</t>
  </si>
  <si>
    <t>Paul Raymond</t>
  </si>
  <si>
    <t>B-25665</t>
  </si>
  <si>
    <t>Carlos Wheeler</t>
  </si>
  <si>
    <t>3/22/2020</t>
  </si>
  <si>
    <t>Isabella Roach</t>
  </si>
  <si>
    <t>B-26839</t>
  </si>
  <si>
    <t>Sarah Wagner</t>
  </si>
  <si>
    <t>B-25025</t>
  </si>
  <si>
    <t>3/25/2021</t>
  </si>
  <si>
    <t>James Gutierrez</t>
  </si>
  <si>
    <t>B-26009</t>
  </si>
  <si>
    <t>Sara Garcia</t>
  </si>
  <si>
    <t>B-26489</t>
  </si>
  <si>
    <t>Brett Sutton</t>
  </si>
  <si>
    <t>10/27/2023</t>
  </si>
  <si>
    <t>Anna Blackburn</t>
  </si>
  <si>
    <t>Michelle Bailey</t>
  </si>
  <si>
    <t>B-26612</t>
  </si>
  <si>
    <t>Aaron Kim</t>
  </si>
  <si>
    <t>B-26899</t>
  </si>
  <si>
    <t>Christopher Jordan</t>
  </si>
  <si>
    <t>B-25774</t>
  </si>
  <si>
    <t>5/27/2021</t>
  </si>
  <si>
    <t>Brandon Le</t>
  </si>
  <si>
    <t>B-25888</t>
  </si>
  <si>
    <t>10/31/2024</t>
  </si>
  <si>
    <t>Victor Collins</t>
  </si>
  <si>
    <t>B-26969</t>
  </si>
  <si>
    <t>Connie Richards</t>
  </si>
  <si>
    <t>4/30/2021</t>
  </si>
  <si>
    <t>Peter Ward</t>
  </si>
  <si>
    <t>B-26501</t>
  </si>
  <si>
    <t>9/26/2020</t>
  </si>
  <si>
    <t>Ricky Smith</t>
  </si>
  <si>
    <t>B-25548</t>
  </si>
  <si>
    <t>Joseph Wilson</t>
  </si>
  <si>
    <t>B-26212</t>
  </si>
  <si>
    <t>6/25/2024</t>
  </si>
  <si>
    <t>Janet Carlson</t>
  </si>
  <si>
    <t>B-26168</t>
  </si>
  <si>
    <t>1/14/2025</t>
  </si>
  <si>
    <t>Jerry Smith</t>
  </si>
  <si>
    <t>B-26370</t>
  </si>
  <si>
    <t>7/31/2024</t>
  </si>
  <si>
    <t>Megan Mclean</t>
  </si>
  <si>
    <t>B-25042</t>
  </si>
  <si>
    <t>5/31/2024</t>
  </si>
  <si>
    <t>Spencer Spears</t>
  </si>
  <si>
    <t>B-25552</t>
  </si>
  <si>
    <t>2/28/2023</t>
  </si>
  <si>
    <t>Danny Ramirez</t>
  </si>
  <si>
    <t>B-25328</t>
  </si>
  <si>
    <t>Debra Smith</t>
  </si>
  <si>
    <t>7/25/2023</t>
  </si>
  <si>
    <t>Jasmine James</t>
  </si>
  <si>
    <t>B-26209</t>
  </si>
  <si>
    <t>3/17/2024</t>
  </si>
  <si>
    <t>Bianca Brown</t>
  </si>
  <si>
    <t>B-26043</t>
  </si>
  <si>
    <t>Sara Peterson</t>
  </si>
  <si>
    <t>B-26894</t>
  </si>
  <si>
    <t>1/20/2023</t>
  </si>
  <si>
    <t>Adam James</t>
  </si>
  <si>
    <t>B-26819</t>
  </si>
  <si>
    <t>8/17/2021</t>
  </si>
  <si>
    <t>Debra Richards</t>
  </si>
  <si>
    <t>B-26912</t>
  </si>
  <si>
    <t>12/27/2020</t>
  </si>
  <si>
    <t>Patrick Hensley MD</t>
  </si>
  <si>
    <t>John Cox</t>
  </si>
  <si>
    <t>Michelle Sullivan</t>
  </si>
  <si>
    <t>B-25881</t>
  </si>
  <si>
    <t>Sherri Ferguson DVM</t>
  </si>
  <si>
    <t>11/21/2024</t>
  </si>
  <si>
    <t>Kristin Hart</t>
  </si>
  <si>
    <t>B-26222</t>
  </si>
  <si>
    <t>6/29/2022</t>
  </si>
  <si>
    <t>Carol Mitchell</t>
  </si>
  <si>
    <t>B-25846</t>
  </si>
  <si>
    <t>4/25/2020</t>
  </si>
  <si>
    <t>Erin Vasquez</t>
  </si>
  <si>
    <t>B-26379</t>
  </si>
  <si>
    <t>Mike Armstrong</t>
  </si>
  <si>
    <t>B-25364</t>
  </si>
  <si>
    <t>Alisha Saunders</t>
  </si>
  <si>
    <t>9/30/2020</t>
  </si>
  <si>
    <t>Travis Chandler DDS</t>
  </si>
  <si>
    <t>B-26426</t>
  </si>
  <si>
    <t>11/24/2023</t>
  </si>
  <si>
    <t>Melissa Mitchell</t>
  </si>
  <si>
    <t>B-26076</t>
  </si>
  <si>
    <t>Vanessa Bauer</t>
  </si>
  <si>
    <t>9/24/2024</t>
  </si>
  <si>
    <t>Sean Smith</t>
  </si>
  <si>
    <t>B-26730</t>
  </si>
  <si>
    <t>2/26/2022</t>
  </si>
  <si>
    <t>David Smith</t>
  </si>
  <si>
    <t>Jacqueline Harris</t>
  </si>
  <si>
    <t>B-26516</t>
  </si>
  <si>
    <t>Deborah Hoffman</t>
  </si>
  <si>
    <t>B-26347</t>
  </si>
  <si>
    <t>12/21/2020</t>
  </si>
  <si>
    <t>Mary Smith</t>
  </si>
  <si>
    <t>Lance Cain</t>
  </si>
  <si>
    <t>B-26677</t>
  </si>
  <si>
    <t>12/13/2020</t>
  </si>
  <si>
    <t>Philip Baker</t>
  </si>
  <si>
    <t>11/19/2020</t>
  </si>
  <si>
    <t>Randall Dennis</t>
  </si>
  <si>
    <t>B-25992</t>
  </si>
  <si>
    <t>Alicia Oneill</t>
  </si>
  <si>
    <t>Rebecca Huff</t>
  </si>
  <si>
    <t>10/27/2020</t>
  </si>
  <si>
    <t>Diana Scott</t>
  </si>
  <si>
    <t>B-26800</t>
  </si>
  <si>
    <t>10/23/2021</t>
  </si>
  <si>
    <t>Anthony Williams</t>
  </si>
  <si>
    <t>B-26759</t>
  </si>
  <si>
    <t>Rebecca Smith</t>
  </si>
  <si>
    <t>B-25170</t>
  </si>
  <si>
    <t>5/27/2022</t>
  </si>
  <si>
    <t>Matthew Gardner</t>
  </si>
  <si>
    <t>B-25488</t>
  </si>
  <si>
    <t>Christopher Thomas</t>
  </si>
  <si>
    <t>B-25770</t>
  </si>
  <si>
    <t>10/30/2022</t>
  </si>
  <si>
    <t>James Taylor</t>
  </si>
  <si>
    <t>B-26898</t>
  </si>
  <si>
    <t>Dean Avila</t>
  </si>
  <si>
    <t>B-26228</t>
  </si>
  <si>
    <t>9/16/2022</t>
  </si>
  <si>
    <t>Kathryn Gray</t>
  </si>
  <si>
    <t>B-25815</t>
  </si>
  <si>
    <t>5/14/2022</t>
  </si>
  <si>
    <t>Jasmine Gibbs</t>
  </si>
  <si>
    <t>B-25153</t>
  </si>
  <si>
    <t>Patricia Sanford</t>
  </si>
  <si>
    <t>B-25243</t>
  </si>
  <si>
    <t>6/16/2024</t>
  </si>
  <si>
    <t>Cory Evans</t>
  </si>
  <si>
    <t>B-25502</t>
  </si>
  <si>
    <t>5/24/2020</t>
  </si>
  <si>
    <t>Tammy Day</t>
  </si>
  <si>
    <t>B-25905</t>
  </si>
  <si>
    <t>Jeffrey Dixon</t>
  </si>
  <si>
    <t>B-25744</t>
  </si>
  <si>
    <t>1/14/2022</t>
  </si>
  <si>
    <t>Sherry Tran</t>
  </si>
  <si>
    <t>B-26752</t>
  </si>
  <si>
    <t>Roy Miller</t>
  </si>
  <si>
    <t>Christopher Espinoza</t>
  </si>
  <si>
    <t>B-26038</t>
  </si>
  <si>
    <t>Kimberly King</t>
  </si>
  <si>
    <t>B-25645</t>
  </si>
  <si>
    <t>Brett Mullins</t>
  </si>
  <si>
    <t>B-25620</t>
  </si>
  <si>
    <t>10/18/2023</t>
  </si>
  <si>
    <t>Benjamin Meadows</t>
  </si>
  <si>
    <t>6/13/2022</t>
  </si>
  <si>
    <t>Micheal Graham</t>
  </si>
  <si>
    <t>B-26032</t>
  </si>
  <si>
    <t>8/21/2020</t>
  </si>
  <si>
    <t>Scott Lewis</t>
  </si>
  <si>
    <t>4/17/2023</t>
  </si>
  <si>
    <t>Eric Griffith</t>
  </si>
  <si>
    <t>12/24/2023</t>
  </si>
  <si>
    <t>Anna Ferguson</t>
  </si>
  <si>
    <t>B-25590</t>
  </si>
  <si>
    <t>12/16/2020</t>
  </si>
  <si>
    <t>Darrell Ramos</t>
  </si>
  <si>
    <t>B-25730</t>
  </si>
  <si>
    <t>Justin Rodriguez</t>
  </si>
  <si>
    <t>10/17/2020</t>
  </si>
  <si>
    <t>Ms. Emily Baxter</t>
  </si>
  <si>
    <t>8/21/2023</t>
  </si>
  <si>
    <t>Austin White</t>
  </si>
  <si>
    <t>B-25746</t>
  </si>
  <si>
    <t>Manuel Walls</t>
  </si>
  <si>
    <t>B-25763</t>
  </si>
  <si>
    <t>1/18/2022</t>
  </si>
  <si>
    <t>Clayton Lara</t>
  </si>
  <si>
    <t>B-26576</t>
  </si>
  <si>
    <t>William Walters</t>
  </si>
  <si>
    <t>B-26523</t>
  </si>
  <si>
    <t>3/31/2020</t>
  </si>
  <si>
    <t>Jasmine Delgado</t>
  </si>
  <si>
    <t>Kristen Harper</t>
  </si>
  <si>
    <t>B-25971</t>
  </si>
  <si>
    <t>Kelly Pacheco</t>
  </si>
  <si>
    <t>B-25504</t>
  </si>
  <si>
    <t>8/20/2023</t>
  </si>
  <si>
    <t>David Bell</t>
  </si>
  <si>
    <t>B-25916</t>
  </si>
  <si>
    <t>Christina Davis</t>
  </si>
  <si>
    <t>Claudia Curry</t>
  </si>
  <si>
    <t>B-26505</t>
  </si>
  <si>
    <t>Mary Wright</t>
  </si>
  <si>
    <t>B-25148</t>
  </si>
  <si>
    <t>12/23/2022</t>
  </si>
  <si>
    <t>William Morse</t>
  </si>
  <si>
    <t>Carrie Smith</t>
  </si>
  <si>
    <t>B-26640</t>
  </si>
  <si>
    <t>11/18/2022</t>
  </si>
  <si>
    <t>Richard Kelley</t>
  </si>
  <si>
    <t>B-25298</t>
  </si>
  <si>
    <t>11/24/2021</t>
  </si>
  <si>
    <t>Lisa Mcintyre</t>
  </si>
  <si>
    <t>Carolyn Gonzalez</t>
  </si>
  <si>
    <t>1/27/2025</t>
  </si>
  <si>
    <t>Christina Oconnell</t>
  </si>
  <si>
    <t>B-26679</t>
  </si>
  <si>
    <t>9/14/2023</t>
  </si>
  <si>
    <t>Leonard Gonzalez</t>
  </si>
  <si>
    <t>4/29/2020</t>
  </si>
  <si>
    <t>Richard Lee</t>
  </si>
  <si>
    <t>12/15/2020</t>
  </si>
  <si>
    <t>Matthew Schroeder</t>
  </si>
  <si>
    <t>B-26656</t>
  </si>
  <si>
    <t>Michael Rodriguez</t>
  </si>
  <si>
    <t>5/23/2020</t>
  </si>
  <si>
    <t>Matthew Huff</t>
  </si>
  <si>
    <t>Linda Little</t>
  </si>
  <si>
    <t>B-25436</t>
  </si>
  <si>
    <t>12/24/2020</t>
  </si>
  <si>
    <t>Andre Fernandez</t>
  </si>
  <si>
    <t>Anthony West</t>
  </si>
  <si>
    <t>B-26240</t>
  </si>
  <si>
    <t>Michael Williams</t>
  </si>
  <si>
    <t>Zachary Carpenter</t>
  </si>
  <si>
    <t>B-26975</t>
  </si>
  <si>
    <t>6/23/2024</t>
  </si>
  <si>
    <t>Elizabeth Gonzalez</t>
  </si>
  <si>
    <t>B-25889</t>
  </si>
  <si>
    <t>9/13/2024</t>
  </si>
  <si>
    <t>Jennifer Hernandez</t>
  </si>
  <si>
    <t>Shannon Warren</t>
  </si>
  <si>
    <t>5/31/2023</t>
  </si>
  <si>
    <t>Ashley Aguilar</t>
  </si>
  <si>
    <t>B-26383</t>
  </si>
  <si>
    <t>Brittany Jenkins</t>
  </si>
  <si>
    <t>5/19/2023</t>
  </si>
  <si>
    <t>Eddie Gonzales</t>
  </si>
  <si>
    <t>B-25099</t>
  </si>
  <si>
    <t>12/22/2021</t>
  </si>
  <si>
    <t>William Valdez</t>
  </si>
  <si>
    <t>B-26106</t>
  </si>
  <si>
    <t>Mr. Gregg Sawyer</t>
  </si>
  <si>
    <t>B-26065</t>
  </si>
  <si>
    <t>Kaitlyn Flores</t>
  </si>
  <si>
    <t>Rebecca Owen</t>
  </si>
  <si>
    <t>B-26564</t>
  </si>
  <si>
    <t>2/16/2024</t>
  </si>
  <si>
    <t>Daryl Miles</t>
  </si>
  <si>
    <t>B-26986</t>
  </si>
  <si>
    <t>William Martin</t>
  </si>
  <si>
    <t>B-25999</t>
  </si>
  <si>
    <t>10/28/2023</t>
  </si>
  <si>
    <t>Nancy Boyd</t>
  </si>
  <si>
    <t>Raymond Reyes</t>
  </si>
  <si>
    <t>B-25010</t>
  </si>
  <si>
    <t>Howard Esparza</t>
  </si>
  <si>
    <t>3/21/2021</t>
  </si>
  <si>
    <t>James Hickman</t>
  </si>
  <si>
    <t>B-26469</t>
  </si>
  <si>
    <t>3/24/2021</t>
  </si>
  <si>
    <t>Eric Clark</t>
  </si>
  <si>
    <t>B-26916</t>
  </si>
  <si>
    <t>10/21/2022</t>
  </si>
  <si>
    <t>Kaylee Glover</t>
  </si>
  <si>
    <t>10/21/2020</t>
  </si>
  <si>
    <t>Pamela Patterson</t>
  </si>
  <si>
    <t>B-25483</t>
  </si>
  <si>
    <t>Carrie Alvarez</t>
  </si>
  <si>
    <t>B-25568</t>
  </si>
  <si>
    <t>3/25/2022</t>
  </si>
  <si>
    <t>Melissa Peck</t>
  </si>
  <si>
    <t>B-25196</t>
  </si>
  <si>
    <t>7/20/2023</t>
  </si>
  <si>
    <t>William Hill</t>
  </si>
  <si>
    <t>B-25232</t>
  </si>
  <si>
    <t>Darren Moore</t>
  </si>
  <si>
    <t>12/27/2022</t>
  </si>
  <si>
    <t>Stephanie Thomas</t>
  </si>
  <si>
    <t>1/19/2024</t>
  </si>
  <si>
    <t>Kristy Hernandez</t>
  </si>
  <si>
    <t>B-26909</t>
  </si>
  <si>
    <t>6/23/2020</t>
  </si>
  <si>
    <t>Daniel Brooks</t>
  </si>
  <si>
    <t>B-25032</t>
  </si>
  <si>
    <t>Denise Hampton</t>
  </si>
  <si>
    <t>B-25400</t>
  </si>
  <si>
    <t>Maria Thomas</t>
  </si>
  <si>
    <t>Nicholas Johnson</t>
  </si>
  <si>
    <t>B-26319</t>
  </si>
  <si>
    <t>Andrew Fernandez</t>
  </si>
  <si>
    <t>B-26159</t>
  </si>
  <si>
    <t>Cheyenne Rose</t>
  </si>
  <si>
    <t>Richard Petersen</t>
  </si>
  <si>
    <t>B-25350</t>
  </si>
  <si>
    <t>9/23/2023</t>
  </si>
  <si>
    <t>Mark Fry</t>
  </si>
  <si>
    <t>B-26125</t>
  </si>
  <si>
    <t>10/13/2023</t>
  </si>
  <si>
    <t>Benjamin Higgins</t>
  </si>
  <si>
    <t>B-26743</t>
  </si>
  <si>
    <t>Cameron Miller</t>
  </si>
  <si>
    <t>Jacob Carpenter</t>
  </si>
  <si>
    <t>Pamela Callahan DVM</t>
  </si>
  <si>
    <t>B-26805</t>
  </si>
  <si>
    <t>6/15/2023</t>
  </si>
  <si>
    <t>Heather Gray</t>
  </si>
  <si>
    <t>B-26296</t>
  </si>
  <si>
    <t>1/20/2022</t>
  </si>
  <si>
    <t>Aaron Dunn</t>
  </si>
  <si>
    <t>B-26987</t>
  </si>
  <si>
    <t>7/18/2022</t>
  </si>
  <si>
    <t>Lynn Matthews</t>
  </si>
  <si>
    <t>B-26845</t>
  </si>
  <si>
    <t>9/30/2021</t>
  </si>
  <si>
    <t>Shannon Patterson</t>
  </si>
  <si>
    <t>B-25426</t>
  </si>
  <si>
    <t>Mary Taylor</t>
  </si>
  <si>
    <t>B-25444</t>
  </si>
  <si>
    <t>Jessica Hunt</t>
  </si>
  <si>
    <t>11/25/2020</t>
  </si>
  <si>
    <t>Tony Chavez</t>
  </si>
  <si>
    <t>B-25189</t>
  </si>
  <si>
    <t>Brandi Garcia</t>
  </si>
  <si>
    <t>Matthew Blake</t>
  </si>
  <si>
    <t>B-25238</t>
  </si>
  <si>
    <t>Walter Crawford</t>
  </si>
  <si>
    <t>B-25660</t>
  </si>
  <si>
    <t>8/18/2020</t>
  </si>
  <si>
    <t>Steven Cox</t>
  </si>
  <si>
    <t>4/19/2022</t>
  </si>
  <si>
    <t>Cynthia Rodriguez</t>
  </si>
  <si>
    <t>B-25940</t>
  </si>
  <si>
    <t>1/25/2025</t>
  </si>
  <si>
    <t>Ryan Foster</t>
  </si>
  <si>
    <t>2/14/2025</t>
  </si>
  <si>
    <t>David Lara</t>
  </si>
  <si>
    <t>B-26554</t>
  </si>
  <si>
    <t>Louis Jimenez</t>
  </si>
  <si>
    <t>11/21/2020</t>
  </si>
  <si>
    <t>Jessica Jones</t>
  </si>
  <si>
    <t>Renee Gomez</t>
  </si>
  <si>
    <t>Connie Olson</t>
  </si>
  <si>
    <t>B-25757</t>
  </si>
  <si>
    <t>Ms. Kim Jordan</t>
  </si>
  <si>
    <t>B-25560</t>
  </si>
  <si>
    <t>7/13/2023</t>
  </si>
  <si>
    <t>Andrew Allen</t>
  </si>
  <si>
    <t>B-25843</t>
  </si>
  <si>
    <t>Stephanie Hayes</t>
  </si>
  <si>
    <t>B-25495</t>
  </si>
  <si>
    <t>Sandra Hicks</t>
  </si>
  <si>
    <t>B-26405</t>
  </si>
  <si>
    <t>Christopher Brooks</t>
  </si>
  <si>
    <t>B-25902</t>
  </si>
  <si>
    <t>Theresa Cline</t>
  </si>
  <si>
    <t>B-25895</t>
  </si>
  <si>
    <t>Donald Medina</t>
  </si>
  <si>
    <t>B-26145</t>
  </si>
  <si>
    <t>11/20/2021</t>
  </si>
  <si>
    <t>Deborah Williams</t>
  </si>
  <si>
    <t>5/13/2020</t>
  </si>
  <si>
    <t>Robert Michael</t>
  </si>
  <si>
    <t>B-26684</t>
  </si>
  <si>
    <t>Jesse Bond</t>
  </si>
  <si>
    <t>B-25112</t>
  </si>
  <si>
    <t>12/20/2022</t>
  </si>
  <si>
    <t>Justin Vasquez</t>
  </si>
  <si>
    <t>1/16/2022</t>
  </si>
  <si>
    <t>Melissa Morales</t>
  </si>
  <si>
    <t>1/29/2023</t>
  </si>
  <si>
    <t>Tyler Thompson</t>
  </si>
  <si>
    <t>B-25794</t>
  </si>
  <si>
    <t>Amber Flowers</t>
  </si>
  <si>
    <t>B-26795</t>
  </si>
  <si>
    <t>7/16/2023</t>
  </si>
  <si>
    <t>Karen Townsend</t>
  </si>
  <si>
    <t>B-26945</t>
  </si>
  <si>
    <t>12/21/2022</t>
  </si>
  <si>
    <t>Aaron Jones</t>
  </si>
  <si>
    <t>B-26026</t>
  </si>
  <si>
    <t>Kelsey Castaneda</t>
  </si>
  <si>
    <t>Katherine Harris</t>
  </si>
  <si>
    <t>B-26772</t>
  </si>
  <si>
    <t>Paula Marshall</t>
  </si>
  <si>
    <t>B-26643</t>
  </si>
  <si>
    <t>John Williams</t>
  </si>
  <si>
    <t>B-26244</t>
  </si>
  <si>
    <t>William Welch</t>
  </si>
  <si>
    <t>B-26890</t>
  </si>
  <si>
    <t>Mr. Eric Lopez</t>
  </si>
  <si>
    <t>B-25120</t>
  </si>
  <si>
    <t>4/25/2024</t>
  </si>
  <si>
    <t>James Clarke</t>
  </si>
  <si>
    <t>Julia Gallagher</t>
  </si>
  <si>
    <t>Ronald Frey Jr.</t>
  </si>
  <si>
    <t>B-26955</t>
  </si>
  <si>
    <t>Kristine Carter</t>
  </si>
  <si>
    <t>B-26613</t>
  </si>
  <si>
    <t>6/18/2022</t>
  </si>
  <si>
    <t>Amber Moore</t>
  </si>
  <si>
    <t>B-25706</t>
  </si>
  <si>
    <t>Kristen Lawson</t>
  </si>
  <si>
    <t>B-25856</t>
  </si>
  <si>
    <t>Monica Gibson</t>
  </si>
  <si>
    <t>B-26726</t>
  </si>
  <si>
    <t>8/17/2023</t>
  </si>
  <si>
    <t>Brandon Hughes</t>
  </si>
  <si>
    <t>11/29/2021</t>
  </si>
  <si>
    <t>Lynn Reynolds</t>
  </si>
  <si>
    <t>B-25051</t>
  </si>
  <si>
    <t>12/30/2024</t>
  </si>
  <si>
    <t>Lawrence Robinson</t>
  </si>
  <si>
    <t>B-25477</t>
  </si>
  <si>
    <t>7/27/2024</t>
  </si>
  <si>
    <t>Cynthia Smith</t>
  </si>
  <si>
    <t>Olivia Dickerson</t>
  </si>
  <si>
    <t>B-25430</t>
  </si>
  <si>
    <t>6/27/2021</t>
  </si>
  <si>
    <t>Michael Rivera</t>
  </si>
  <si>
    <t>B-25612</t>
  </si>
  <si>
    <t>10/17/2023</t>
  </si>
  <si>
    <t>Carlos Wells</t>
  </si>
  <si>
    <t>B-25810</t>
  </si>
  <si>
    <t>11/27/2021</t>
  </si>
  <si>
    <t>Kendra Mckinney</t>
  </si>
  <si>
    <t>B-25747</t>
  </si>
  <si>
    <t>Jessica Kidd</t>
  </si>
  <si>
    <t>9/17/2023</t>
  </si>
  <si>
    <t>Nicholas Martin</t>
  </si>
  <si>
    <t>B-25735</t>
  </si>
  <si>
    <t>Bryan Baird</t>
  </si>
  <si>
    <t>B-26367</t>
  </si>
  <si>
    <t>12/25/2021</t>
  </si>
  <si>
    <t>Richard Gardner</t>
  </si>
  <si>
    <t>B-25898</t>
  </si>
  <si>
    <t>Monica Lee</t>
  </si>
  <si>
    <t>B-26543</t>
  </si>
  <si>
    <t>3/15/2022</t>
  </si>
  <si>
    <t>Nicolas Owen</t>
  </si>
  <si>
    <t>B-25382</t>
  </si>
  <si>
    <t>Joshua Rojas</t>
  </si>
  <si>
    <t>B-25990</t>
  </si>
  <si>
    <t>Mark Dixon</t>
  </si>
  <si>
    <t>B-25714</t>
  </si>
  <si>
    <t>3/24/2024</t>
  </si>
  <si>
    <t>Charles Lane</t>
  </si>
  <si>
    <t>2/19/2025</t>
  </si>
  <si>
    <t>Joyce Good MD</t>
  </si>
  <si>
    <t>B-26972</t>
  </si>
  <si>
    <t>Steven Haynes</t>
  </si>
  <si>
    <t>B-25258</t>
  </si>
  <si>
    <t>Sheila Clay</t>
  </si>
  <si>
    <t>B-25142</t>
  </si>
  <si>
    <t>Marc Strickland</t>
  </si>
  <si>
    <t>B-25849</t>
  </si>
  <si>
    <t>10/26/2021</t>
  </si>
  <si>
    <t>William Russell</t>
  </si>
  <si>
    <t>Sheri Berg</t>
  </si>
  <si>
    <t>B-26678</t>
  </si>
  <si>
    <t>Mr. Jack Mercado</t>
  </si>
  <si>
    <t>B-26088</t>
  </si>
  <si>
    <t>7/16/2020</t>
  </si>
  <si>
    <t>Natalie Cox</t>
  </si>
  <si>
    <t>B-26425</t>
  </si>
  <si>
    <t>William Cook</t>
  </si>
  <si>
    <t>B-25801</t>
  </si>
  <si>
    <t>Kerri Andrews</t>
  </si>
  <si>
    <t>B-25342</t>
  </si>
  <si>
    <t>Nancy Jones</t>
  </si>
  <si>
    <t>B-25295</t>
  </si>
  <si>
    <t>1/28/2024</t>
  </si>
  <si>
    <t>Paul Rogers</t>
  </si>
  <si>
    <t>B-26573</t>
  </si>
  <si>
    <t>4/16/2020</t>
  </si>
  <si>
    <t>Felicia Morton</t>
  </si>
  <si>
    <t>B-25517</t>
  </si>
  <si>
    <t>12/29/2021</t>
  </si>
  <si>
    <t>Tamara Guzman</t>
  </si>
  <si>
    <t>B-26767</t>
  </si>
  <si>
    <t>12/13/2021</t>
  </si>
  <si>
    <t>Dennis Rivera</t>
  </si>
  <si>
    <t>Nancy Keller</t>
  </si>
  <si>
    <t>B-25325</t>
  </si>
  <si>
    <t>Jean Jackson</t>
  </si>
  <si>
    <t>B-25596</t>
  </si>
  <si>
    <t>9/14/2021</t>
  </si>
  <si>
    <t>Steven Proctor</t>
  </si>
  <si>
    <t>B-25953</t>
  </si>
  <si>
    <t>Nancy Sanchez</t>
  </si>
  <si>
    <t>11/13/2021</t>
  </si>
  <si>
    <t>Sydney Walls</t>
  </si>
  <si>
    <t>B-26066</t>
  </si>
  <si>
    <t>12/19/2024</t>
  </si>
  <si>
    <t>Carl Wade DDS</t>
  </si>
  <si>
    <t>B-26309</t>
  </si>
  <si>
    <t>11/29/2023</t>
  </si>
  <si>
    <t>Joshua Murray</t>
  </si>
  <si>
    <t>5/20/2024</t>
  </si>
  <si>
    <t>John Jones</t>
  </si>
  <si>
    <t>B-26165</t>
  </si>
  <si>
    <t>Darryl Robbins</t>
  </si>
  <si>
    <t>B-26796</t>
  </si>
  <si>
    <t>Mary Crawford</t>
  </si>
  <si>
    <t>B-25022</t>
  </si>
  <si>
    <t>8/19/2023</t>
  </si>
  <si>
    <t>Nicole Dudley</t>
  </si>
  <si>
    <t>7/14/2023</t>
  </si>
  <si>
    <t>Lori Colon</t>
  </si>
  <si>
    <t>B-25978</t>
  </si>
  <si>
    <t>Malik Walker</t>
  </si>
  <si>
    <t>B-25065</t>
  </si>
  <si>
    <t>Craig Ortega</t>
  </si>
  <si>
    <t>B-26712</t>
  </si>
  <si>
    <t>Emma Bruce</t>
  </si>
  <si>
    <t>B-26366</t>
  </si>
  <si>
    <t>8/21/2021</t>
  </si>
  <si>
    <t>James Mendoza</t>
  </si>
  <si>
    <t>5/16/2021</t>
  </si>
  <si>
    <t>Kaitlin Garrison</t>
  </si>
  <si>
    <t>B-25983</t>
  </si>
  <si>
    <t>5/19/2024</t>
  </si>
  <si>
    <t>Jeffrey Kline</t>
  </si>
  <si>
    <t>5/14/2020</t>
  </si>
  <si>
    <t>Ryan Bullock</t>
  </si>
  <si>
    <t>B-25424</t>
  </si>
  <si>
    <t>9/15/2020</t>
  </si>
  <si>
    <t>Jill Perez</t>
  </si>
  <si>
    <t>B-26675</t>
  </si>
  <si>
    <t>6/15/2024</t>
  </si>
  <si>
    <t>Daniel Price</t>
  </si>
  <si>
    <t>James Perez</t>
  </si>
  <si>
    <t>B-26896</t>
  </si>
  <si>
    <t>5/24/2023</t>
  </si>
  <si>
    <t>Morgan Mccarthy</t>
  </si>
  <si>
    <t>11/29/2020</t>
  </si>
  <si>
    <t>Morgan Sullivan</t>
  </si>
  <si>
    <t>B-25931</t>
  </si>
  <si>
    <t>Amanda Williams</t>
  </si>
  <si>
    <t>B-25157</t>
  </si>
  <si>
    <t>7/18/2024</t>
  </si>
  <si>
    <t>Lisa Graham</t>
  </si>
  <si>
    <t>B-26742</t>
  </si>
  <si>
    <t>Bryan Russell</t>
  </si>
  <si>
    <t>9/17/2024</t>
  </si>
  <si>
    <t>Tony Maddox</t>
  </si>
  <si>
    <t>B-26119</t>
  </si>
  <si>
    <t>9/20/2023</t>
  </si>
  <si>
    <t>Jeffrey Henderson</t>
  </si>
  <si>
    <t>12/26/2024</t>
  </si>
  <si>
    <t>Michelle Hardy</t>
  </si>
  <si>
    <t>B-26842</t>
  </si>
  <si>
    <t>Joseph Perkins</t>
  </si>
  <si>
    <t>Ashley Adams MD</t>
  </si>
  <si>
    <t>B-25507</t>
  </si>
  <si>
    <t>11/28/2023</t>
  </si>
  <si>
    <t>Debra Rodriguez</t>
  </si>
  <si>
    <t>B-26116</t>
  </si>
  <si>
    <t>1/15/2022</t>
  </si>
  <si>
    <t>Jeremy Jackson</t>
  </si>
  <si>
    <t>B-25423</t>
  </si>
  <si>
    <t>3/18/2023</t>
  </si>
  <si>
    <t>Matthew Kelley</t>
  </si>
  <si>
    <t>10/19/2022</t>
  </si>
  <si>
    <t>Candace Martinez</t>
  </si>
  <si>
    <t>B-26324</t>
  </si>
  <si>
    <t>8/31/2023</t>
  </si>
  <si>
    <t>Jacob Mann</t>
  </si>
  <si>
    <t>Keith Reese</t>
  </si>
  <si>
    <t>B-26312</t>
  </si>
  <si>
    <t>9/15/2021</t>
  </si>
  <si>
    <t>Jonathan Alvarez</t>
  </si>
  <si>
    <t>1/28/2023</t>
  </si>
  <si>
    <t>Becky Hodges</t>
  </si>
  <si>
    <t>B-26353</t>
  </si>
  <si>
    <t>Samuel Moore</t>
  </si>
  <si>
    <t>4/28/2023</t>
  </si>
  <si>
    <t>Robert Stokes</t>
  </si>
  <si>
    <t>11/22/2024</t>
  </si>
  <si>
    <t>Danielle Ramirez</t>
  </si>
  <si>
    <t>B-25346</t>
  </si>
  <si>
    <t>8/23/2022</t>
  </si>
  <si>
    <t>Reginald Hebert</t>
  </si>
  <si>
    <t>Jeremy Vazquez</t>
  </si>
  <si>
    <t>B-26988</t>
  </si>
  <si>
    <t>Ms. Barbara Cervantes</t>
  </si>
  <si>
    <t>B-26114</t>
  </si>
  <si>
    <t>Sarah Montgomery</t>
  </si>
  <si>
    <t>B-25166</t>
  </si>
  <si>
    <t>2/23/2023</t>
  </si>
  <si>
    <t>Richard Castaneda</t>
  </si>
  <si>
    <t>Sarah Torres</t>
  </si>
  <si>
    <t>B-25777</t>
  </si>
  <si>
    <t>Eric Adams</t>
  </si>
  <si>
    <t>Chad Brown</t>
  </si>
  <si>
    <t>B-26059</t>
  </si>
  <si>
    <t>4/24/2022</t>
  </si>
  <si>
    <t>Wesley Deleon</t>
  </si>
  <si>
    <t>B-26397</t>
  </si>
  <si>
    <t>Marcus Flores</t>
  </si>
  <si>
    <t>9/21/2024</t>
  </si>
  <si>
    <t>Tonya Long</t>
  </si>
  <si>
    <t>B-26623</t>
  </si>
  <si>
    <t>Cindy Rowland</t>
  </si>
  <si>
    <t>B-25071</t>
  </si>
  <si>
    <t>3/14/2023</t>
  </si>
  <si>
    <t>Hailey Chandler</t>
  </si>
  <si>
    <t>B-25464</t>
  </si>
  <si>
    <t>10/23/2020</t>
  </si>
  <si>
    <t>Melissa Mcknight</t>
  </si>
  <si>
    <t>B-25832</t>
  </si>
  <si>
    <t>Jennifer Arnold</t>
  </si>
  <si>
    <t>B-25537</t>
  </si>
  <si>
    <t>Roger Morrison</t>
  </si>
  <si>
    <t>B-25064</t>
  </si>
  <si>
    <t>Kimberly Johnson</t>
  </si>
  <si>
    <t>Kelly Jones</t>
  </si>
  <si>
    <t>B-25966</t>
  </si>
  <si>
    <t>6/14/2021</t>
  </si>
  <si>
    <t>Paul Taylor</t>
  </si>
  <si>
    <t>Susan Baker</t>
  </si>
  <si>
    <t>B-25715</t>
  </si>
  <si>
    <t>12/31/2020</t>
  </si>
  <si>
    <t>Alicia Vincent</t>
  </si>
  <si>
    <t>Kenneth Adams</t>
  </si>
  <si>
    <t>Shelby Browning</t>
  </si>
  <si>
    <t>B-26929</t>
  </si>
  <si>
    <t>Kelly Roberts</t>
  </si>
  <si>
    <t>B-26033</t>
  </si>
  <si>
    <t>Keith Brooks</t>
  </si>
  <si>
    <t>B-25228</t>
  </si>
  <si>
    <t>Jodi Wood</t>
  </si>
  <si>
    <t>1/17/2022</t>
  </si>
  <si>
    <t>Dr. Thomas Peterson</t>
  </si>
  <si>
    <t>B-25401</t>
  </si>
  <si>
    <t>Scott Craig</t>
  </si>
  <si>
    <t>B-25406</t>
  </si>
  <si>
    <t>10/28/2020</t>
  </si>
  <si>
    <t>B-26757</t>
  </si>
  <si>
    <t>7/16/2022</t>
  </si>
  <si>
    <t>William Ruiz</t>
  </si>
  <si>
    <t>B-26522</t>
  </si>
  <si>
    <t>John Thomas</t>
  </si>
  <si>
    <t>Bryan Anderson</t>
  </si>
  <si>
    <t>Sarah Miller</t>
  </si>
  <si>
    <t>B-26456</t>
  </si>
  <si>
    <t>3/30/2024</t>
  </si>
  <si>
    <t>Robert Mosley</t>
  </si>
  <si>
    <t>B-25944</t>
  </si>
  <si>
    <t>8/24/2021</t>
  </si>
  <si>
    <t>Angelica Lewis</t>
  </si>
  <si>
    <t>10/22/2022</t>
  </si>
  <si>
    <t>Jessica Russell</t>
  </si>
  <si>
    <t>B-25630</t>
  </si>
  <si>
    <t>Charles Williams</t>
  </si>
  <si>
    <t>7/26/2022</t>
  </si>
  <si>
    <t>Amy Page</t>
  </si>
  <si>
    <t>B-26603</t>
  </si>
  <si>
    <t>3/17/2022</t>
  </si>
  <si>
    <t>Harold Mitchell</t>
  </si>
  <si>
    <t>B-26322</t>
  </si>
  <si>
    <t>David Brown</t>
  </si>
  <si>
    <t>B-26572</t>
  </si>
  <si>
    <t>8/20/2022</t>
  </si>
  <si>
    <t>Austin Davis</t>
  </si>
  <si>
    <t>11/25/2024</t>
  </si>
  <si>
    <t>Mark Roy</t>
  </si>
  <si>
    <t>B-25443</t>
  </si>
  <si>
    <t>8/21/2024</t>
  </si>
  <si>
    <t>Kathy Wilson</t>
  </si>
  <si>
    <t>B-25669</t>
  </si>
  <si>
    <t>10/20/2023</t>
  </si>
  <si>
    <t>Adam Stevens</t>
  </si>
  <si>
    <t>B-25006</t>
  </si>
  <si>
    <t>11/16/2022</t>
  </si>
  <si>
    <t>Jeffrey Johnson III</t>
  </si>
  <si>
    <t>Daniel Dixon</t>
  </si>
  <si>
    <t>Tiffany Robinson</t>
  </si>
  <si>
    <t>B-25372</t>
  </si>
  <si>
    <t>11/16/2020</t>
  </si>
  <si>
    <t>Heather Jenkins</t>
  </si>
  <si>
    <t>B-25462</t>
  </si>
  <si>
    <t>Randy Acosta</t>
  </si>
  <si>
    <t>B-26144</t>
  </si>
  <si>
    <t>8/23/2024</t>
  </si>
  <si>
    <t>Andrew Griffin</t>
  </si>
  <si>
    <t>B-25976</t>
  </si>
  <si>
    <t>3/15/2024</t>
  </si>
  <si>
    <t>Martha Carney</t>
  </si>
  <si>
    <t>Francisco Hicks</t>
  </si>
  <si>
    <t>B-25701</t>
  </si>
  <si>
    <t>9/13/2023</t>
  </si>
  <si>
    <t>Suzanne Cross</t>
  </si>
  <si>
    <t>B-25454</t>
  </si>
  <si>
    <t>Vanessa Deleon</t>
  </si>
  <si>
    <t>B-25456</t>
  </si>
  <si>
    <t>Alexis Duffy</t>
  </si>
  <si>
    <t>Stephanie Sanchez</t>
  </si>
  <si>
    <t>Reginald Espinoza</t>
  </si>
  <si>
    <t>B-25326</t>
  </si>
  <si>
    <t>Charlene Brown</t>
  </si>
  <si>
    <t>Charles Smith</t>
  </si>
  <si>
    <t>B-26224</t>
  </si>
  <si>
    <t>1/22/2023</t>
  </si>
  <si>
    <t>Mitchell Lester</t>
  </si>
  <si>
    <t>Mr. John Tyler PhD</t>
  </si>
  <si>
    <t>12/13/2023</t>
  </si>
  <si>
    <t>Juan Kelly</t>
  </si>
  <si>
    <t>B-25870</t>
  </si>
  <si>
    <t>5/28/2021</t>
  </si>
  <si>
    <t>Angela Roberts</t>
  </si>
  <si>
    <t>B-25236</t>
  </si>
  <si>
    <t>12/22/2022</t>
  </si>
  <si>
    <t>Vanessa Smith</t>
  </si>
  <si>
    <t>B-25316</t>
  </si>
  <si>
    <t>John Thompson</t>
  </si>
  <si>
    <t>B-26750</t>
  </si>
  <si>
    <t>Paul Zimmerman</t>
  </si>
  <si>
    <t>B-26257</t>
  </si>
  <si>
    <t>7/13/2022</t>
  </si>
  <si>
    <t>Elizabeth Coffey</t>
  </si>
  <si>
    <t>4/19/2020</t>
  </si>
  <si>
    <t>Joseph Clark</t>
  </si>
  <si>
    <t>B-26466</t>
  </si>
  <si>
    <t>10/17/2024</t>
  </si>
  <si>
    <t>Karina Barr</t>
  </si>
  <si>
    <t>B-26325</t>
  </si>
  <si>
    <t>James Benitez</t>
  </si>
  <si>
    <t>B-25283</t>
  </si>
  <si>
    <t>Luis Warner</t>
  </si>
  <si>
    <t>B-26835</t>
  </si>
  <si>
    <t>Keith Smith</t>
  </si>
  <si>
    <t>B-25329</t>
  </si>
  <si>
    <t>2/28/2024</t>
  </si>
  <si>
    <t>Stephanie Flores</t>
  </si>
  <si>
    <t>Gregory English</t>
  </si>
  <si>
    <t>B-25383</t>
  </si>
  <si>
    <t>5/29/2024</t>
  </si>
  <si>
    <t>Kayla Becker</t>
  </si>
  <si>
    <t>Ashley Freeman</t>
  </si>
  <si>
    <t>B-26820</t>
  </si>
  <si>
    <t>2/26/2025</t>
  </si>
  <si>
    <t>Kimberly Beard</t>
  </si>
  <si>
    <t>B-25897</t>
  </si>
  <si>
    <t>Jessica Blankenship</t>
  </si>
  <si>
    <t>B-25266</t>
  </si>
  <si>
    <t>Lori Adkins</t>
  </si>
  <si>
    <t>B-26017</t>
  </si>
  <si>
    <t>4/16/2022</t>
  </si>
  <si>
    <t>Jason Martinez</t>
  </si>
  <si>
    <t>B-26457</t>
  </si>
  <si>
    <t>Mario Hall</t>
  </si>
  <si>
    <t>B-25768</t>
  </si>
  <si>
    <t>10/19/2021</t>
  </si>
  <si>
    <t>Ricardo Dixon</t>
  </si>
  <si>
    <t>B-25662</t>
  </si>
  <si>
    <t>7/25/2022</t>
  </si>
  <si>
    <t>Eric Mason</t>
  </si>
  <si>
    <t>Lisa Lowe</t>
  </si>
  <si>
    <t>B-26288</t>
  </si>
  <si>
    <t>4/23/2022</t>
  </si>
  <si>
    <t>James Murray</t>
  </si>
  <si>
    <t>2/18/2025</t>
  </si>
  <si>
    <t>Mr. Nathaniel Reeves</t>
  </si>
  <si>
    <t>B-26167</t>
  </si>
  <si>
    <t>4/13/2024</t>
  </si>
  <si>
    <t>Shane Clark</t>
  </si>
  <si>
    <t>B-25159</t>
  </si>
  <si>
    <t>Cassandra Jordan</t>
  </si>
  <si>
    <t>Evelyn Harris</t>
  </si>
  <si>
    <t>10/21/2024</t>
  </si>
  <si>
    <t>Shannon Maynard</t>
  </si>
  <si>
    <t>Marie James</t>
  </si>
  <si>
    <t>B-25780</t>
  </si>
  <si>
    <t>5/15/2022</t>
  </si>
  <si>
    <t>Jessica Greene</t>
  </si>
  <si>
    <t>B-26365</t>
  </si>
  <si>
    <t>Mr. Curtis Bailey</t>
  </si>
  <si>
    <t>B-26723</t>
  </si>
  <si>
    <t>James Dickerson</t>
  </si>
  <si>
    <t>James Jones</t>
  </si>
  <si>
    <t>B-25574</t>
  </si>
  <si>
    <t>Jason Hernandez</t>
  </si>
  <si>
    <t>10/29/2021</t>
  </si>
  <si>
    <t>Jacob Torres</t>
  </si>
  <si>
    <t>B-25673</t>
  </si>
  <si>
    <t>3/23/2024</t>
  </si>
  <si>
    <t>Kimberly Fuller</t>
  </si>
  <si>
    <t>B-26496</t>
  </si>
  <si>
    <t>Daniel Mosley</t>
  </si>
  <si>
    <t>B-25925</t>
  </si>
  <si>
    <t>Ronald Mckinney</t>
  </si>
  <si>
    <t>2/17/2021</t>
  </si>
  <si>
    <t>James Hart</t>
  </si>
  <si>
    <t>B-25855</t>
  </si>
  <si>
    <t>8/28/2022</t>
  </si>
  <si>
    <t>Kelsey Huber</t>
  </si>
  <si>
    <t>B-25237</t>
  </si>
  <si>
    <t>Jim Johnson</t>
  </si>
  <si>
    <t>5/14/2023</t>
  </si>
  <si>
    <t>David Hamilton</t>
  </si>
  <si>
    <t>B-26232</t>
  </si>
  <si>
    <t>12/17/2021</t>
  </si>
  <si>
    <t>Alexander Reed</t>
  </si>
  <si>
    <t>B-26961</t>
  </si>
  <si>
    <t>Johnny Hill</t>
  </si>
  <si>
    <t>12/29/2024</t>
  </si>
  <si>
    <t>Nicholas Tucker</t>
  </si>
  <si>
    <t>B-25396</t>
  </si>
  <si>
    <t>Lydia Donovan</t>
  </si>
  <si>
    <t>B-26284</t>
  </si>
  <si>
    <t>11/27/2020</t>
  </si>
  <si>
    <t>Elizabeth Miller</t>
  </si>
  <si>
    <t>8/25/2022</t>
  </si>
  <si>
    <t>Sabrina Clark</t>
  </si>
  <si>
    <t>8/23/2023</t>
  </si>
  <si>
    <t>Larry Casey</t>
  </si>
  <si>
    <t>Daniel Burns</t>
  </si>
  <si>
    <t>B-26670</t>
  </si>
  <si>
    <t>Robert Brooks</t>
  </si>
  <si>
    <t>B-26166</t>
  </si>
  <si>
    <t>Cynthia Wilcox</t>
  </si>
  <si>
    <t>B-25388</t>
  </si>
  <si>
    <t>8/13/2023</t>
  </si>
  <si>
    <t>Alexandra Moran</t>
  </si>
  <si>
    <t>Sara Castro</t>
  </si>
  <si>
    <t>Shawn Leach</t>
  </si>
  <si>
    <t>Mark Boyle</t>
  </si>
  <si>
    <t>B-25447</t>
  </si>
  <si>
    <t>Amber Kennedy</t>
  </si>
  <si>
    <t>B-26046</t>
  </si>
  <si>
    <t>Charles Moore</t>
  </si>
  <si>
    <t>B-25234</t>
  </si>
  <si>
    <t>Nancy Kennedy</t>
  </si>
  <si>
    <t>Andrew Barry</t>
  </si>
  <si>
    <t>B-25759</t>
  </si>
  <si>
    <t>Leah Calderon</t>
  </si>
  <si>
    <t>B-25555</t>
  </si>
  <si>
    <t>Jessica Richardson</t>
  </si>
  <si>
    <t>Kimberly Warren</t>
  </si>
  <si>
    <t>B-26610</t>
  </si>
  <si>
    <t>3/22/2022</t>
  </si>
  <si>
    <t>Meghan Rush</t>
  </si>
  <si>
    <t>B-26146</t>
  </si>
  <si>
    <t>7/28/2024</t>
  </si>
  <si>
    <t>Megan Charles</t>
  </si>
  <si>
    <t>B-26029</t>
  </si>
  <si>
    <t>Anthony May</t>
  </si>
  <si>
    <t>B-25972</t>
  </si>
  <si>
    <t>6/19/2022</t>
  </si>
  <si>
    <t>Willie Huynh</t>
  </si>
  <si>
    <t>B-26153</t>
  </si>
  <si>
    <t>5/18/2022</t>
  </si>
  <si>
    <t>Laura Yu</t>
  </si>
  <si>
    <t>B-25707</t>
  </si>
  <si>
    <t>Kaitlin Brown</t>
  </si>
  <si>
    <t>B-26420</t>
  </si>
  <si>
    <t>Lisa Farmer</t>
  </si>
  <si>
    <t>Christopher Walker</t>
  </si>
  <si>
    <t>B-25602</t>
  </si>
  <si>
    <t>Rhonda Harris</t>
  </si>
  <si>
    <t>8/30/2022</t>
  </si>
  <si>
    <t>Randy Fisher</t>
  </si>
  <si>
    <t>B-25222</t>
  </si>
  <si>
    <t>4/24/2024</t>
  </si>
  <si>
    <t>Alicia Allen</t>
  </si>
  <si>
    <t>12/24/2021</t>
  </si>
  <si>
    <t>Cynthia Meyer</t>
  </si>
  <si>
    <t>Brandon Norton</t>
  </si>
  <si>
    <t>B-25227</t>
  </si>
  <si>
    <t>Donald Perry</t>
  </si>
  <si>
    <t>B-25792</t>
  </si>
  <si>
    <t>Kyle Jackson</t>
  </si>
  <si>
    <t>B-25549</t>
  </si>
  <si>
    <t>7/30/2023</t>
  </si>
  <si>
    <t>Amy Duran MD</t>
  </si>
  <si>
    <t>B-26872</t>
  </si>
  <si>
    <t>1/13/2024</t>
  </si>
  <si>
    <t>Scott Gibbs</t>
  </si>
  <si>
    <t>B-26789</t>
  </si>
  <si>
    <t>5/21/2024</t>
  </si>
  <si>
    <t>Cheryl Johnson</t>
  </si>
  <si>
    <t>B-25437</t>
  </si>
  <si>
    <t>1/23/2023</t>
  </si>
  <si>
    <t>Justin Thomas</t>
  </si>
  <si>
    <t>Jillian Johnson MD</t>
  </si>
  <si>
    <t>B-26926</t>
  </si>
  <si>
    <t>Steven Herrera</t>
  </si>
  <si>
    <t>B-25733</t>
  </si>
  <si>
    <t>Manuel Stark</t>
  </si>
  <si>
    <t>B-25839</t>
  </si>
  <si>
    <t>10/15/2024</t>
  </si>
  <si>
    <t>David Allen</t>
  </si>
  <si>
    <t>B-25949</t>
  </si>
  <si>
    <t>10/25/2023</t>
  </si>
  <si>
    <t>Johnny Simon</t>
  </si>
  <si>
    <t>B-25957</t>
  </si>
  <si>
    <t>Michael Chambers</t>
  </si>
  <si>
    <t>B-25515</t>
  </si>
  <si>
    <t>3/16/2022</t>
  </si>
  <si>
    <t>Seth Rodriguez</t>
  </si>
  <si>
    <t>B-26716</t>
  </si>
  <si>
    <t>Marcus Santiago</t>
  </si>
  <si>
    <t>B-25841</t>
  </si>
  <si>
    <t>1/19/2021</t>
  </si>
  <si>
    <t>Jacob Meyer</t>
  </si>
  <si>
    <t>B-26268</t>
  </si>
  <si>
    <t>Ashley Petty</t>
  </si>
  <si>
    <t>Crystal Ross</t>
  </si>
  <si>
    <t>B-26932</t>
  </si>
  <si>
    <t>7/15/2022</t>
  </si>
  <si>
    <t>B-26402</t>
  </si>
  <si>
    <t>Christina Scott</t>
  </si>
  <si>
    <t>B-26563</t>
  </si>
  <si>
    <t>Lauren Howell</t>
  </si>
  <si>
    <t>B-25060</t>
  </si>
  <si>
    <t>Jonathan Mcmillan</t>
  </si>
  <si>
    <t>B-25381</t>
  </si>
  <si>
    <t>3/21/2024</t>
  </si>
  <si>
    <t>Barry Garcia</t>
  </si>
  <si>
    <t>Dawn Webb</t>
  </si>
  <si>
    <t>B-25486</t>
  </si>
  <si>
    <t>Melissa Wise</t>
  </si>
  <si>
    <t>B-26703</t>
  </si>
  <si>
    <t>1/23/2022</t>
  </si>
  <si>
    <t>Juan Erickson</t>
  </si>
  <si>
    <t>B-25962</t>
  </si>
  <si>
    <t>11/23/2022</t>
  </si>
  <si>
    <t>Rachel Fisher</t>
  </si>
  <si>
    <t>Donald Moore</t>
  </si>
  <si>
    <t>William Wu</t>
  </si>
  <si>
    <t>Jesus Zuniga</t>
  </si>
  <si>
    <t>B-26292</t>
  </si>
  <si>
    <t>7/13/2020</t>
  </si>
  <si>
    <t>Nathan Moss</t>
  </si>
  <si>
    <t>B-26245</t>
  </si>
  <si>
    <t>Megan Morgan</t>
  </si>
  <si>
    <t>8/22/2022</t>
  </si>
  <si>
    <t>Vincent Kramer</t>
  </si>
  <si>
    <t>Raymond Bean</t>
  </si>
  <si>
    <t>B-26215</t>
  </si>
  <si>
    <t>Richard Lyons</t>
  </si>
  <si>
    <t>B-26844</t>
  </si>
  <si>
    <t>Michelle Lynch</t>
  </si>
  <si>
    <t>2/27/2025</t>
  </si>
  <si>
    <t>Ryan Hale</t>
  </si>
  <si>
    <t>Marie Jefferson</t>
  </si>
  <si>
    <t>B-25435</t>
  </si>
  <si>
    <t>Paul Scott</t>
  </si>
  <si>
    <t>B-26098</t>
  </si>
  <si>
    <t>Kyle Baker</t>
  </si>
  <si>
    <t>B-26122</t>
  </si>
  <si>
    <t>Michael Jimenez</t>
  </si>
  <si>
    <t>Angela Norman</t>
  </si>
  <si>
    <t>B-25655</t>
  </si>
  <si>
    <t>Russell Austin</t>
  </si>
  <si>
    <t>B-25030</t>
  </si>
  <si>
    <t>Eric Nunez</t>
  </si>
  <si>
    <t>B-26863</t>
  </si>
  <si>
    <t>Brenda Davis</t>
  </si>
  <si>
    <t>B-26806</t>
  </si>
  <si>
    <t>8/27/2020</t>
  </si>
  <si>
    <t>Laura Cole</t>
  </si>
  <si>
    <t>B-25605</t>
  </si>
  <si>
    <t>7/28/2023</t>
  </si>
  <si>
    <t>Randall Bell</t>
  </si>
  <si>
    <t>B-26599</t>
  </si>
  <si>
    <t>Cheryl Stevens</t>
  </si>
  <si>
    <t>Jorge George</t>
  </si>
  <si>
    <t>B-26580</t>
  </si>
  <si>
    <t>Kathryn Rogers</t>
  </si>
  <si>
    <t>Kyle Dickson</t>
  </si>
  <si>
    <t>B-25154</t>
  </si>
  <si>
    <t>Mark Rodriguez</t>
  </si>
  <si>
    <t>B-26139</t>
  </si>
  <si>
    <t>Casey Garcia</t>
  </si>
  <si>
    <t>B-26922</t>
  </si>
  <si>
    <t>4/30/2022</t>
  </si>
  <si>
    <t>Timothy Baker</t>
  </si>
  <si>
    <t>B-26299</t>
  </si>
  <si>
    <t>Lauren Harris</t>
  </si>
  <si>
    <t>B-25363</t>
  </si>
  <si>
    <t>Jamie Bradley</t>
  </si>
  <si>
    <t>Robert Martinez</t>
  </si>
  <si>
    <t>B-25011</t>
  </si>
  <si>
    <t>Eric Bates</t>
  </si>
  <si>
    <t>Steven Keith</t>
  </si>
  <si>
    <t>B-25545</t>
  </si>
  <si>
    <t>Lawrence Oliver</t>
  </si>
  <si>
    <t>B-25915</t>
  </si>
  <si>
    <t>Adam Clark</t>
  </si>
  <si>
    <t>Amy Olsen</t>
  </si>
  <si>
    <t>Stacey Miller</t>
  </si>
  <si>
    <t>B-25566</t>
  </si>
  <si>
    <t>7/22/2023</t>
  </si>
  <si>
    <t>Kenneth Matthews</t>
  </si>
  <si>
    <t>Susan Valdez</t>
  </si>
  <si>
    <t>B-25681</t>
  </si>
  <si>
    <t>5/17/2022</t>
  </si>
  <si>
    <t>Robert Hill</t>
  </si>
  <si>
    <t>B-25830</t>
  </si>
  <si>
    <t>Vincent Roth</t>
  </si>
  <si>
    <t>2/28/2022</t>
  </si>
  <si>
    <t>Andrew Benson</t>
  </si>
  <si>
    <t>B-25872</t>
  </si>
  <si>
    <t>4/13/2020</t>
  </si>
  <si>
    <t>Shelly Sweeney</t>
  </si>
  <si>
    <t>B-25698</t>
  </si>
  <si>
    <t>11/13/2022</t>
  </si>
  <si>
    <t>Heather Parker</t>
  </si>
  <si>
    <t>12/28/2022</t>
  </si>
  <si>
    <t>Thomas Matthews</t>
  </si>
  <si>
    <t>B-25369</t>
  </si>
  <si>
    <t>Lauren Jones</t>
  </si>
  <si>
    <t>2/16/2025</t>
  </si>
  <si>
    <t>Thomas Wallace</t>
  </si>
  <si>
    <t>Mr. Daniel Wilson</t>
  </si>
  <si>
    <t>Julie Smith MD</t>
  </si>
  <si>
    <t>B-26999</t>
  </si>
  <si>
    <t>2/19/2024</t>
  </si>
  <si>
    <t>Edward Valencia</t>
  </si>
  <si>
    <t>B-26279</t>
  </si>
  <si>
    <t>Kristin Alvarez</t>
  </si>
  <si>
    <t>Kevin Jackson</t>
  </si>
  <si>
    <t>3/27/2024</t>
  </si>
  <si>
    <t>Mrs. Lauren Potter DDS</t>
  </si>
  <si>
    <t>2/17/2023</t>
  </si>
  <si>
    <t>Jason Brown</t>
  </si>
  <si>
    <t>7/21/2021</t>
  </si>
  <si>
    <t>Jamie Santos</t>
  </si>
  <si>
    <t>B-25394</t>
  </si>
  <si>
    <t>Tyler Park</t>
  </si>
  <si>
    <t>Richard Wolfe</t>
  </si>
  <si>
    <t>B-25842</t>
  </si>
  <si>
    <t>1/22/2024</t>
  </si>
  <si>
    <t>Christina Conner</t>
  </si>
  <si>
    <t>Luis Luna</t>
  </si>
  <si>
    <t>B-26906</t>
  </si>
  <si>
    <t>Brianna Hunt</t>
  </si>
  <si>
    <t>Cathy Clark</t>
  </si>
  <si>
    <t>B-25532</t>
  </si>
  <si>
    <t>1/26/2023</t>
  </si>
  <si>
    <t>Brian Young</t>
  </si>
  <si>
    <t>B-25789</t>
  </si>
  <si>
    <t>6/22/2024</t>
  </si>
  <si>
    <t>John Silva</t>
  </si>
  <si>
    <t>B-26419</t>
  </si>
  <si>
    <t>John Stevens</t>
  </si>
  <si>
    <t>B-26069</t>
  </si>
  <si>
    <t>1/21/2021</t>
  </si>
  <si>
    <t>Stephen Baker</t>
  </si>
  <si>
    <t>Jeffrey Wilcox</t>
  </si>
  <si>
    <t>B-26747</t>
  </si>
  <si>
    <t>2/23/2022</t>
  </si>
  <si>
    <t>Amy Wilson</t>
  </si>
  <si>
    <t>B-25684</t>
  </si>
  <si>
    <t>Duane Kelly</t>
  </si>
  <si>
    <t>3/16/2023</t>
  </si>
  <si>
    <t>Frank Reynolds</t>
  </si>
  <si>
    <t>B-26964</t>
  </si>
  <si>
    <t>8/29/2024</t>
  </si>
  <si>
    <t>Brandon Kirk</t>
  </si>
  <si>
    <t>Abigail Brown</t>
  </si>
  <si>
    <t>B-25935</t>
  </si>
  <si>
    <t>Amanda Kim</t>
  </si>
  <si>
    <t>B-26495</t>
  </si>
  <si>
    <t>12/28/2024</t>
  </si>
  <si>
    <t>Patricia Davis</t>
  </si>
  <si>
    <t>B-25991</t>
  </si>
  <si>
    <t>Kyle Hernandez</t>
  </si>
  <si>
    <t>B-26137</t>
  </si>
  <si>
    <t>Alan Livingston</t>
  </si>
  <si>
    <t>7/25/2020</t>
  </si>
  <si>
    <t>Angela Jackson</t>
  </si>
  <si>
    <t>1/24/2024</t>
  </si>
  <si>
    <t>Amy Williams</t>
  </si>
  <si>
    <t>Laura Jordan</t>
  </si>
  <si>
    <t>Richard Maynard</t>
  </si>
  <si>
    <t>B-25163</t>
  </si>
  <si>
    <t>Douglas Reynolds</t>
  </si>
  <si>
    <t>B-25352</t>
  </si>
  <si>
    <t>Jacob Stewart</t>
  </si>
  <si>
    <t>B-26817</t>
  </si>
  <si>
    <t>Debra Townsend</t>
  </si>
  <si>
    <t>B-25192</t>
  </si>
  <si>
    <t>12/17/2020</t>
  </si>
  <si>
    <t>Ashley Wright</t>
  </si>
  <si>
    <t>B-26792</t>
  </si>
  <si>
    <t>5/26/2024</t>
  </si>
  <si>
    <t>Andrew Macias</t>
  </si>
  <si>
    <t>2/19/2022</t>
  </si>
  <si>
    <t>Alejandro Williams</t>
  </si>
  <si>
    <t>B-26938</t>
  </si>
  <si>
    <t>12/27/2023</t>
  </si>
  <si>
    <t>Erin Hernandez</t>
  </si>
  <si>
    <t>6/25/2023</t>
  </si>
  <si>
    <t>Jacob Guzman</t>
  </si>
  <si>
    <t>B-25851</t>
  </si>
  <si>
    <t>Julie Chavez</t>
  </si>
  <si>
    <t>B-26083</t>
  </si>
  <si>
    <t>1/17/2024</t>
  </si>
  <si>
    <t>Bethany Harrison</t>
  </si>
  <si>
    <t>B-26537</t>
  </si>
  <si>
    <t>12/21/2023</t>
  </si>
  <si>
    <t>Tanya Walker</t>
  </si>
  <si>
    <t>B-25171</t>
  </si>
  <si>
    <t>3/20/2022</t>
  </si>
  <si>
    <t>David Figueroa</t>
  </si>
  <si>
    <t>B-25823</t>
  </si>
  <si>
    <t>9/29/2022</t>
  </si>
  <si>
    <t>Kathleen Cox</t>
  </si>
  <si>
    <t>B-26258</t>
  </si>
  <si>
    <t>Beverly Lamb</t>
  </si>
  <si>
    <t>B-25292</t>
  </si>
  <si>
    <t>12/31/2021</t>
  </si>
  <si>
    <t>Michelle Guerra</t>
  </si>
  <si>
    <t>B-25463</t>
  </si>
  <si>
    <t>Tina Davies</t>
  </si>
  <si>
    <t>B-25223</t>
  </si>
  <si>
    <t>Heidi Davis</t>
  </si>
  <si>
    <t>B-26018</t>
  </si>
  <si>
    <t>Whitney Stout</t>
  </si>
  <si>
    <t>B-25496</t>
  </si>
  <si>
    <t>Maria Carroll</t>
  </si>
  <si>
    <t>Jessica Sloan</t>
  </si>
  <si>
    <t>B-26138</t>
  </si>
  <si>
    <t>Carl Ryan</t>
  </si>
  <si>
    <t>B-26993</t>
  </si>
  <si>
    <t>William Villarreal</t>
  </si>
  <si>
    <t>B-26409</t>
  </si>
  <si>
    <t>Scott Harris</t>
  </si>
  <si>
    <t>12/28/2021</t>
  </si>
  <si>
    <t>John James</t>
  </si>
  <si>
    <t>B-25497</t>
  </si>
  <si>
    <t>Paul Bryant</t>
  </si>
  <si>
    <t>B-25102</t>
  </si>
  <si>
    <t>3/23/2020</t>
  </si>
  <si>
    <t>Jessica Anderson</t>
  </si>
  <si>
    <t>B-25330</t>
  </si>
  <si>
    <t>11/17/2024</t>
  </si>
  <si>
    <t>Katrina Wood</t>
  </si>
  <si>
    <t>B-25868</t>
  </si>
  <si>
    <t>8/31/2024</t>
  </si>
  <si>
    <t>Autumn Lee</t>
  </si>
  <si>
    <t>12/26/2022</t>
  </si>
  <si>
    <t>Victoria Duran</t>
  </si>
  <si>
    <t>B-25594</t>
  </si>
  <si>
    <t>6/26/2024</t>
  </si>
  <si>
    <t>Michael Stewart</t>
  </si>
  <si>
    <t>Kevin Johnson</t>
  </si>
  <si>
    <t>B-25251</t>
  </si>
  <si>
    <t>4/27/2020</t>
  </si>
  <si>
    <t>Donald York</t>
  </si>
  <si>
    <t>5/13/2024</t>
  </si>
  <si>
    <t>Tiffany Parker</t>
  </si>
  <si>
    <t>B-25762</t>
  </si>
  <si>
    <t>5/24/2024</t>
  </si>
  <si>
    <t>Jason Wilson</t>
  </si>
  <si>
    <t>B-26794</t>
  </si>
  <si>
    <t>Colin Patterson</t>
  </si>
  <si>
    <t>B-26552</t>
  </si>
  <si>
    <t>Olivia Orozco</t>
  </si>
  <si>
    <t>Larry Moore</t>
  </si>
  <si>
    <t>Mrs. Rachel Cannon DDS</t>
  </si>
  <si>
    <t>B-25790</t>
  </si>
  <si>
    <t>2/14/2021</t>
  </si>
  <si>
    <t>Justin Rosales</t>
  </si>
  <si>
    <t>B-26797</t>
  </si>
  <si>
    <t>Caitlin Thomas</t>
  </si>
  <si>
    <t>B-25036</t>
  </si>
  <si>
    <t>4/19/2021</t>
  </si>
  <si>
    <t>Joseph Bates</t>
  </si>
  <si>
    <t>B-26526</t>
  </si>
  <si>
    <t>7/17/2022</t>
  </si>
  <si>
    <t>Emma Scott</t>
  </si>
  <si>
    <t>Sabrina Buckley</t>
  </si>
  <si>
    <t>B-25043</t>
  </si>
  <si>
    <t>Austin Hammond</t>
  </si>
  <si>
    <t>B-25836</t>
  </si>
  <si>
    <t>7/28/2022</t>
  </si>
  <si>
    <t>Danielle Mitchell</t>
  </si>
  <si>
    <t>6/17/2021</t>
  </si>
  <si>
    <t>Jesus Hernandez</t>
  </si>
  <si>
    <t>B-26739</t>
  </si>
  <si>
    <t>Robert Sexton</t>
  </si>
  <si>
    <t>Brooke Gonzalez</t>
  </si>
  <si>
    <t>B-25873</t>
  </si>
  <si>
    <t>Meghan Ballard</t>
  </si>
  <si>
    <t>Brian Wheeler</t>
  </si>
  <si>
    <t>William Rosario</t>
  </si>
  <si>
    <t>B-25919</t>
  </si>
  <si>
    <t>Jillian Williams</t>
  </si>
  <si>
    <t>2/20/2025</t>
  </si>
  <si>
    <t>Rebekah Carter</t>
  </si>
  <si>
    <t>Jonathan Reed</t>
  </si>
  <si>
    <t>B-25526</t>
  </si>
  <si>
    <t>Hannah Hendricks</t>
  </si>
  <si>
    <t>B-26528</t>
  </si>
  <si>
    <t>Donald Hernandez</t>
  </si>
  <si>
    <t>Megan Davis</t>
  </si>
  <si>
    <t>B-26598</t>
  </si>
  <si>
    <t>Jessica Barajas</t>
  </si>
  <si>
    <t>Jamie Jimenez</t>
  </si>
  <si>
    <t>2/22/2022</t>
  </si>
  <si>
    <t>James Carter</t>
  </si>
  <si>
    <t>B-25819</t>
  </si>
  <si>
    <t>Robert Rojas</t>
  </si>
  <si>
    <t>Eric Johnson</t>
  </si>
  <si>
    <t>B-26928</t>
  </si>
  <si>
    <t>6/22/2023</t>
  </si>
  <si>
    <t>William Carr</t>
  </si>
  <si>
    <t>B-26478</t>
  </si>
  <si>
    <t>4/21/2022</t>
  </si>
  <si>
    <t>James Tanner</t>
  </si>
  <si>
    <t>B-26864</t>
  </si>
  <si>
    <t>1/30/2021</t>
  </si>
  <si>
    <t>Collin Cameron</t>
  </si>
  <si>
    <t>B-25890</t>
  </si>
  <si>
    <t>Jacqueline Hubbard</t>
  </si>
  <si>
    <t>B-25331</t>
  </si>
  <si>
    <t>7/17/2023</t>
  </si>
  <si>
    <t>Miguel Alvarez</t>
  </si>
  <si>
    <t>B-25510</t>
  </si>
  <si>
    <t>Jason Randolph</t>
  </si>
  <si>
    <t>Laura Andrews</t>
  </si>
  <si>
    <t>3/18/2021</t>
  </si>
  <si>
    <t>Mrs. Stephanie Hooper</t>
  </si>
  <si>
    <t>4/24/2023</t>
  </si>
  <si>
    <t>Anthony Evans</t>
  </si>
  <si>
    <t>B-25317</t>
  </si>
  <si>
    <t>Sharon Russell</t>
  </si>
  <si>
    <t>B-25413</t>
  </si>
  <si>
    <t>5/22/2020</t>
  </si>
  <si>
    <t>James Williams</t>
  </si>
  <si>
    <t>B-25988</t>
  </si>
  <si>
    <t>9/19/2022</t>
  </si>
  <si>
    <t>Connie Holmes</t>
  </si>
  <si>
    <t>B-25564</t>
  </si>
  <si>
    <t>Susan Wright</t>
  </si>
  <si>
    <t>Kayla Banks</t>
  </si>
  <si>
    <t>7/30/2024</t>
  </si>
  <si>
    <t>Zachary Pierce</t>
  </si>
  <si>
    <t>B-26586</t>
  </si>
  <si>
    <t>6/26/2023</t>
  </si>
  <si>
    <t>Michael Gallegos</t>
  </si>
  <si>
    <t>9/30/2023</t>
  </si>
  <si>
    <t>Robert Daniels</t>
  </si>
  <si>
    <t>B-26035</t>
  </si>
  <si>
    <t>Megan Mack</t>
  </si>
  <si>
    <t>B-25541</t>
  </si>
  <si>
    <t>April Marquez</t>
  </si>
  <si>
    <t>4/22/2020</t>
  </si>
  <si>
    <t>Joseph Guerrero</t>
  </si>
  <si>
    <t>8/13/2021</t>
  </si>
  <si>
    <t>Michael Hanson</t>
  </si>
  <si>
    <t>B-26661</t>
  </si>
  <si>
    <t>2/13/2024</t>
  </si>
  <si>
    <t>Jason Norman</t>
  </si>
  <si>
    <t>B-26277</t>
  </si>
  <si>
    <t>2/24/2022</t>
  </si>
  <si>
    <t>Matthew Harris</t>
  </si>
  <si>
    <t>B-25203</t>
  </si>
  <si>
    <t>Daniel Flowers</t>
  </si>
  <si>
    <t>B-26317</t>
  </si>
  <si>
    <t>Laura Poole</t>
  </si>
  <si>
    <t>B-25713</t>
  </si>
  <si>
    <t>Peggy Campos</t>
  </si>
  <si>
    <t>B-26393</t>
  </si>
  <si>
    <t>Ashley Palmer</t>
  </si>
  <si>
    <t>8/19/2022</t>
  </si>
  <si>
    <t>Stephen Hogan</t>
  </si>
  <si>
    <t>B-25573</t>
  </si>
  <si>
    <t>8/16/2020</t>
  </si>
  <si>
    <t>Heather Johnson</t>
  </si>
  <si>
    <t>B-26120</t>
  </si>
  <si>
    <t>Erica Scott</t>
  </si>
  <si>
    <t>B-26298</t>
  </si>
  <si>
    <t>Caitlin Hunt</t>
  </si>
  <si>
    <t>12/15/2022</t>
  </si>
  <si>
    <t>Jenna Holland</t>
  </si>
  <si>
    <t>Stephanie Oconnell</t>
  </si>
  <si>
    <t>B-26735</t>
  </si>
  <si>
    <t>1/25/2022</t>
  </si>
  <si>
    <t>Bruce Dennis</t>
  </si>
  <si>
    <t>B-26321</t>
  </si>
  <si>
    <t>Christine Wheeler</t>
  </si>
  <si>
    <t>B-26225</t>
  </si>
  <si>
    <t>12/14/2024</t>
  </si>
  <si>
    <t>William Beck</t>
  </si>
  <si>
    <t>B-25028</t>
  </si>
  <si>
    <t>Samantha Williams</t>
  </si>
  <si>
    <t>B-25410</t>
  </si>
  <si>
    <t>Jessica Baker</t>
  </si>
  <si>
    <t>B-26698</t>
  </si>
  <si>
    <t>Susan Ramirez</t>
  </si>
  <si>
    <t>B-25827</t>
  </si>
  <si>
    <t>Amanda Ramirez</t>
  </si>
  <si>
    <t>B-25138</t>
  </si>
  <si>
    <t>Sylvia Jenkins</t>
  </si>
  <si>
    <t>B-26259</t>
  </si>
  <si>
    <t>3/29/2022</t>
  </si>
  <si>
    <t>Douglas Mcfarland</t>
  </si>
  <si>
    <t>11/20/2022</t>
  </si>
  <si>
    <t>Kayla Ross</t>
  </si>
  <si>
    <t>B-25101</t>
  </si>
  <si>
    <t>11/25/2023</t>
  </si>
  <si>
    <t>Steven Steele</t>
  </si>
  <si>
    <t>B-26510</t>
  </si>
  <si>
    <t>Douglas Pennington</t>
  </si>
  <si>
    <t>1/23/2024</t>
  </si>
  <si>
    <t>Ricardo Andrews</t>
  </si>
  <si>
    <t>B-25529</t>
  </si>
  <si>
    <t>Edward Johnson</t>
  </si>
  <si>
    <t>B-26965</t>
  </si>
  <si>
    <t>Jordan Krause</t>
  </si>
  <si>
    <t>B-26185</t>
  </si>
  <si>
    <t>Emily Gill</t>
  </si>
  <si>
    <t>3/14/2021</t>
  </si>
  <si>
    <t>Brian Patrick</t>
  </si>
  <si>
    <t>Dr. Sarah Booth</t>
  </si>
  <si>
    <t>B-26804</t>
  </si>
  <si>
    <t>Morgan Sellers</t>
  </si>
  <si>
    <t>B-26942</t>
  </si>
  <si>
    <t>John Fields</t>
  </si>
  <si>
    <t>Clayton Smith</t>
  </si>
  <si>
    <t>B-26672</t>
  </si>
  <si>
    <t>9/18/2023</t>
  </si>
  <si>
    <t>Renee Robinson</t>
  </si>
  <si>
    <t>B-26023</t>
  </si>
  <si>
    <t>Stephanie Gardner</t>
  </si>
  <si>
    <t>B-26837</t>
  </si>
  <si>
    <t>Larry Hill</t>
  </si>
  <si>
    <t>Amber Moon</t>
  </si>
  <si>
    <t>B-26112</t>
  </si>
  <si>
    <t>11/18/2023</t>
  </si>
  <si>
    <t>Jacob Martinez</t>
  </si>
  <si>
    <t>1/19/2022</t>
  </si>
  <si>
    <t>Raymond Burgess</t>
  </si>
  <si>
    <t>B-25964</t>
  </si>
  <si>
    <t>7/22/2022</t>
  </si>
  <si>
    <t>Vincent Perez</t>
  </si>
  <si>
    <t>B-25182</t>
  </si>
  <si>
    <t>Natalie Maxwell</t>
  </si>
  <si>
    <t>B-26556</t>
  </si>
  <si>
    <t>Kimberly Greene</t>
  </si>
  <si>
    <t>B-25986</t>
  </si>
  <si>
    <t>Tyrone White</t>
  </si>
  <si>
    <t>B-25658</t>
  </si>
  <si>
    <t>Alison Martin</t>
  </si>
  <si>
    <t>Samuel Wallace</t>
  </si>
  <si>
    <t>B-25695</t>
  </si>
  <si>
    <t>12/17/2022</t>
  </si>
  <si>
    <t>Rebecca Wright</t>
  </si>
  <si>
    <t>Sarah Flores</t>
  </si>
  <si>
    <t>B-26453</t>
  </si>
  <si>
    <t>1/17/2023</t>
  </si>
  <si>
    <t>Courtney Williams</t>
  </si>
  <si>
    <t>6/16/2020</t>
  </si>
  <si>
    <t>Jordan Hahn</t>
  </si>
  <si>
    <t>B-25471</t>
  </si>
  <si>
    <t>11/27/2024</t>
  </si>
  <si>
    <t>Tara Hughes</t>
  </si>
  <si>
    <t>B-26121</t>
  </si>
  <si>
    <t>Jon Banks</t>
  </si>
  <si>
    <t>12/16/2022</t>
  </si>
  <si>
    <t>Michelle Williams</t>
  </si>
  <si>
    <t>B-25709</t>
  </si>
  <si>
    <t>8/19/2021</t>
  </si>
  <si>
    <t>Denise Mcdaniel</t>
  </si>
  <si>
    <t>B-26754</t>
  </si>
  <si>
    <t>10/26/2020</t>
  </si>
  <si>
    <t>Robin Myers</t>
  </si>
  <si>
    <t>B-26607</t>
  </si>
  <si>
    <t>7/13/2024</t>
  </si>
  <si>
    <t>Maria Miller</t>
  </si>
  <si>
    <t>B-26924</t>
  </si>
  <si>
    <t>2/28/2021</t>
  </si>
  <si>
    <t>David Johnson</t>
  </si>
  <si>
    <t>B-26878</t>
  </si>
  <si>
    <t>Nicholas Flores</t>
  </si>
  <si>
    <t>Jasmin Jones</t>
  </si>
  <si>
    <t>B-26068</t>
  </si>
  <si>
    <t>8/28/2020</t>
  </si>
  <si>
    <t>Carol Norman</t>
  </si>
  <si>
    <t>B-25580</t>
  </si>
  <si>
    <t>3/15/2025</t>
  </si>
  <si>
    <t>Dr. Terry Alvarado</t>
  </si>
  <si>
    <t>B-26668</t>
  </si>
  <si>
    <t>Betty Tucker</t>
  </si>
  <si>
    <t>B-25929</t>
  </si>
  <si>
    <t>7/23/2022</t>
  </si>
  <si>
    <t>Matthew Parker</t>
  </si>
  <si>
    <t>B-25068</t>
  </si>
  <si>
    <t>10/26/2024</t>
  </si>
  <si>
    <t>Andrea Hill</t>
  </si>
  <si>
    <t>B-25880</t>
  </si>
  <si>
    <t>Kaitlyn Graham MD</t>
  </si>
  <si>
    <t>B-26195</t>
  </si>
  <si>
    <t>5/29/2023</t>
  </si>
  <si>
    <t>Bryan Brown</t>
  </si>
  <si>
    <t>Christopher Johnson</t>
  </si>
  <si>
    <t>B-26734</t>
  </si>
  <si>
    <t>5/23/2022</t>
  </si>
  <si>
    <t>James Garcia</t>
  </si>
  <si>
    <t>Emily Frederick</t>
  </si>
  <si>
    <t>1/18/2023</t>
  </si>
  <si>
    <t>Shawn Wise</t>
  </si>
  <si>
    <t>B-25697</t>
  </si>
  <si>
    <t>5/25/2021</t>
  </si>
  <si>
    <t>Victoria Bryant MD</t>
  </si>
  <si>
    <t>B-25679</t>
  </si>
  <si>
    <t>Jacob Decker</t>
  </si>
  <si>
    <t>B-25303</t>
  </si>
  <si>
    <t>11/23/2021</t>
  </si>
  <si>
    <t>Darren Perez</t>
  </si>
  <si>
    <t>Michelle Hunter</t>
  </si>
  <si>
    <t>B-26765</t>
  </si>
  <si>
    <t>Jonathan Young</t>
  </si>
  <si>
    <t>B-25038</t>
  </si>
  <si>
    <t>Terry Mcdaniel</t>
  </si>
  <si>
    <t>Lisa Jacobs</t>
  </si>
  <si>
    <t>5/14/2024</t>
  </si>
  <si>
    <t>Jeff Duncan</t>
  </si>
  <si>
    <t>Pamela Jones</t>
  </si>
  <si>
    <t>B-25465</t>
  </si>
  <si>
    <t>3/23/2022</t>
  </si>
  <si>
    <t>Tony Ray</t>
  </si>
  <si>
    <t>6/24/2020</t>
  </si>
  <si>
    <t>Steven Frey</t>
  </si>
  <si>
    <t>Stephanie Leonard</t>
  </si>
  <si>
    <t>11/24/2024</t>
  </si>
  <si>
    <t>Crystal Chambers</t>
  </si>
  <si>
    <t>Robert White</t>
  </si>
  <si>
    <t>10/24/2023</t>
  </si>
  <si>
    <t>Sylvia Barron</t>
  </si>
  <si>
    <t>B-25996</t>
  </si>
  <si>
    <t>Brandon Alvarado</t>
  </si>
  <si>
    <t>12/23/2020</t>
  </si>
  <si>
    <t>Jennifer Clark</t>
  </si>
  <si>
    <t>B-26428</t>
  </si>
  <si>
    <t>Brandon Anderson</t>
  </si>
  <si>
    <t>B-25813</t>
  </si>
  <si>
    <t>3/13/2021</t>
  </si>
  <si>
    <t>Charles Henderson</t>
  </si>
  <si>
    <t>B-25640</t>
  </si>
  <si>
    <t>Claire Cole</t>
  </si>
  <si>
    <t>B-25955</t>
  </si>
  <si>
    <t>2/15/2022</t>
  </si>
  <si>
    <t>Alexander Adams</t>
  </si>
  <si>
    <t>11/30/2023</t>
  </si>
  <si>
    <t>Ashlee Mills</t>
  </si>
  <si>
    <t>B-25359</t>
  </si>
  <si>
    <t>10/15/2020</t>
  </si>
  <si>
    <t>Jack Woods</t>
  </si>
  <si>
    <t>B-26904</t>
  </si>
  <si>
    <t>Maria Davis</t>
  </si>
  <si>
    <t>Terry Gilbert</t>
  </si>
  <si>
    <t>Devon Schmitt</t>
  </si>
  <si>
    <t>B-25965</t>
  </si>
  <si>
    <t>Tanner Vance</t>
  </si>
  <si>
    <t>Michael Nash</t>
  </si>
  <si>
    <t>B-26545</t>
  </si>
  <si>
    <t>Brent Thomas</t>
  </si>
  <si>
    <t>B-26659</t>
  </si>
  <si>
    <t>2/18/2022</t>
  </si>
  <si>
    <t>Samuel Little MD</t>
  </si>
  <si>
    <t>B-25690</t>
  </si>
  <si>
    <t>Mark Blackburn</t>
  </si>
  <si>
    <t>SALES PERFORMANCE DASHBOARD 2020-2025</t>
  </si>
  <si>
    <t>COMPANY NAME: RETAIL PRO INDIA</t>
  </si>
  <si>
    <t>STATES: 6</t>
  </si>
  <si>
    <t>PERIOD: 2020-2025</t>
  </si>
  <si>
    <t>TOTAL REVENUE</t>
  </si>
  <si>
    <t>TOTAL PROFIT</t>
  </si>
  <si>
    <t>TOTAL ORDERS</t>
  </si>
  <si>
    <t>AVERAGE ORDER VALUE</t>
  </si>
  <si>
    <t>TOTAL QUANTITY</t>
  </si>
  <si>
    <t>TOTAL AMOUNT</t>
  </si>
  <si>
    <t>COUNT</t>
  </si>
  <si>
    <t>OFFICE SUPPLIES</t>
  </si>
  <si>
    <t>MAX AMOUNT</t>
  </si>
  <si>
    <t>MIN AMOUNT</t>
  </si>
  <si>
    <t>AVERAGE AMOUNT</t>
  </si>
  <si>
    <t>REVENUE PER CATEGORY</t>
  </si>
  <si>
    <t>PROFITS PER CATEGORY</t>
  </si>
  <si>
    <t>COUNT PER PAYMENT MODE</t>
  </si>
  <si>
    <t>DEBIT CARD</t>
  </si>
  <si>
    <t>CREDIT CARD</t>
  </si>
  <si>
    <t>CUSTOMER NAME</t>
  </si>
  <si>
    <t>STATE</t>
  </si>
  <si>
    <t>CITY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</si>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</sst>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Times New Roman"/>
      <charset val="134"/>
    </font>
    <font>
      <sz val="11"/>
      <color rgb="FF000000"/>
      <name val="Times New Roman"/>
      <charset val="134"/>
    </font>
    <font>
      <b/>
      <sz val="16"/>
      <color theme="1"/>
      <name val="Times New Roman"/>
    </font>
    <font>
      <b/>
      <sz val="16"/>
      <color theme="0"/>
      <name val="Times New Roman"/>
    </font>
    <font>
      <sz val="16"/>
      <color theme="0"/>
      <name val="Calibri"/>
      <family val="2"/>
      <scheme val="minor"/>
    </font>
    <font>
      <b/>
      <sz val="14"/>
      <color theme="0"/>
      <name val="Times New Roman"/>
    </font>
    <font>
      <b/>
      <sz val="24"/>
      <color theme="0"/>
      <name val="Times New Roman"/>
    </font>
    <font>
      <b/>
      <sz val="11"/>
      <color theme="4" tint="-0.49998474074526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5B9BD5"/>
      </left>
      <right/>
      <top style="thin">
        <color rgb="FF5B9BD5"/>
      </top>
      <bottom style="thin">
        <color rgb="FF9BC2E6"/>
      </bottom>
      <diagonal/>
    </border>
    <border>
      <left/>
      <right/>
      <top style="thin">
        <color rgb="FF5B9BD5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5B9BD5"/>
      </bottom>
      <diagonal/>
    </border>
    <border>
      <left/>
      <right/>
      <top style="thin">
        <color rgb="FF9BC2E6"/>
      </top>
      <bottom style="thin">
        <color rgb="FF5B9BD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1" fillId="2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14" fontId="2" fillId="3" borderId="4" xfId="0" applyNumberFormat="1" applyFont="1" applyFill="1" applyBorder="1" applyAlignment="1">
      <alignment horizontal="left"/>
    </xf>
    <xf numFmtId="14" fontId="2" fillId="0" borderId="4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3" borderId="5" xfId="0" applyFont="1" applyFill="1" applyBorder="1" applyAlignment="1"/>
    <xf numFmtId="0" fontId="2" fillId="3" borderId="6" xfId="0" applyFont="1" applyFill="1" applyBorder="1" applyAlignment="1">
      <alignment horizontal="left"/>
    </xf>
    <xf numFmtId="0" fontId="2" fillId="3" borderId="6" xfId="0" applyFont="1" applyFill="1" applyBorder="1" applyAlignment="1"/>
    <xf numFmtId="0" fontId="0" fillId="0" borderId="0" xfId="0" applyAlignment="1">
      <alignment wrapText="1"/>
    </xf>
    <xf numFmtId="1" fontId="0" fillId="0" borderId="0" xfId="0" applyNumberFormat="1"/>
    <xf numFmtId="1" fontId="1" fillId="2" borderId="2" xfId="0" applyNumberFormat="1" applyFont="1" applyFill="1" applyBorder="1" applyAlignment="1">
      <alignment horizontal="left"/>
    </xf>
    <xf numFmtId="1" fontId="2" fillId="3" borderId="4" xfId="0" applyNumberFormat="1" applyFont="1" applyFill="1" applyBorder="1" applyAlignment="1">
      <alignment horizontal="left"/>
    </xf>
    <xf numFmtId="1" fontId="2" fillId="0" borderId="4" xfId="0" applyNumberFormat="1" applyFont="1" applyFill="1" applyBorder="1" applyAlignment="1">
      <alignment horizontal="left"/>
    </xf>
    <xf numFmtId="1" fontId="2" fillId="3" borderId="6" xfId="0" applyNumberFormat="1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5" borderId="7" xfId="0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 wrapText="1"/>
    </xf>
    <xf numFmtId="0" fontId="8" fillId="5" borderId="13" xfId="0" applyFont="1" applyFill="1" applyBorder="1" applyAlignment="1">
      <alignment horizontal="center" wrapText="1"/>
    </xf>
    <xf numFmtId="0" fontId="8" fillId="5" borderId="7" xfId="0" applyNumberFormat="1" applyFont="1" applyFill="1" applyBorder="1" applyAlignment="1">
      <alignment horizontal="center" vertical="center"/>
    </xf>
    <xf numFmtId="0" fontId="8" fillId="5" borderId="8" xfId="0" applyNumberFormat="1" applyFont="1" applyFill="1" applyBorder="1" applyAlignment="1">
      <alignment horizontal="center" vertical="center"/>
    </xf>
    <xf numFmtId="0" fontId="8" fillId="5" borderId="12" xfId="0" applyNumberFormat="1" applyFont="1" applyFill="1" applyBorder="1" applyAlignment="1">
      <alignment horizontal="center" vertical="center"/>
    </xf>
    <xf numFmtId="0" fontId="8" fillId="5" borderId="13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1" fontId="4" fillId="4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pivot_table!$B$4:$B$7</c:f>
              <c:numCache>
                <c:formatCode>0</c:formatCode>
                <c:ptCount val="3"/>
                <c:pt idx="0">
                  <c:v>300653</c:v>
                </c:pt>
                <c:pt idx="1">
                  <c:v>416016</c:v>
                </c:pt>
                <c:pt idx="2">
                  <c:v>369767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2-41AD-80DB-CA5C0E21D097}"/>
            </c:ext>
          </c:extLst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pivot_table!$C$4:$C$7</c:f>
              <c:numCache>
                <c:formatCode>General</c:formatCode>
                <c:ptCount val="3"/>
                <c:pt idx="0">
                  <c:v>67477</c:v>
                </c:pt>
                <c:pt idx="1">
                  <c:v>115391</c:v>
                </c:pt>
                <c:pt idx="2">
                  <c:v>95946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2-41AD-80DB-CA5C0E21D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617544"/>
        <c:axId val="1695619592"/>
      </c:barChart>
      <c:catAx>
        <c:axId val="169561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19592"/>
        <c:crosses val="autoZero"/>
        <c:auto val="1"/>
        <c:lblAlgn val="ctr"/>
        <c:lblOffset val="100"/>
        <c:noMultiLvlLbl val="0"/>
      </c:catAx>
      <c:valAx>
        <c:axId val="169561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1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pivot_table!$F$3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pivot_table!$E$4:$E$10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pivot_table!$F$4:$F$10</c:f>
              <c:numCache>
                <c:formatCode>0</c:formatCode>
                <c:ptCount val="6"/>
                <c:pt idx="0">
                  <c:v>1086436</c:v>
                </c:pt>
                <c:pt idx="1">
                  <c:v>1091174</c:v>
                </c:pt>
                <c:pt idx="2">
                  <c:v>978738</c:v>
                </c:pt>
                <c:pt idx="3">
                  <c:v>1120559</c:v>
                </c:pt>
                <c:pt idx="4">
                  <c:v>884768</c:v>
                </c:pt>
                <c:pt idx="5">
                  <c:v>1011475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7-4221-BD2F-19F774579578}"/>
            </c:ext>
          </c:extLst>
        </c:ser>
        <c:ser>
          <c:idx val="1"/>
          <c:order val="1"/>
          <c:tx>
            <c:strRef>
              <c:f>pivot_table!$G$3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pivot_table!$E$4:$E$10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pivot_table!$G$4:$G$10</c:f>
              <c:numCache>
                <c:formatCode>General</c:formatCode>
                <c:ptCount val="6"/>
                <c:pt idx="0">
                  <c:v>2319</c:v>
                </c:pt>
                <c:pt idx="1">
                  <c:v>2145</c:v>
                </c:pt>
                <c:pt idx="2">
                  <c:v>1820</c:v>
                </c:pt>
                <c:pt idx="3">
                  <c:v>2479</c:v>
                </c:pt>
                <c:pt idx="4">
                  <c:v>2041</c:v>
                </c:pt>
                <c:pt idx="5">
                  <c:v>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7-4221-BD2F-19F774579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3387912"/>
        <c:axId val="1923389960"/>
      </c:barChart>
      <c:catAx>
        <c:axId val="1923387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389960"/>
        <c:crosses val="autoZero"/>
        <c:auto val="1"/>
        <c:lblAlgn val="ctr"/>
        <c:lblOffset val="100"/>
        <c:noMultiLvlLbl val="0"/>
      </c:catAx>
      <c:valAx>
        <c:axId val="192338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38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pivot_table!$J$3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48-43A5-AB98-8EED6F39F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48-43A5-AB98-8EED6F39F1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48-43A5-AB98-8EED6F39F1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48-43A5-AB98-8EED6F39F1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48-43A5-AB98-8EED6F39F138}"/>
              </c:ext>
            </c:extLst>
          </c:dPt>
          <c:cat>
            <c:strRef>
              <c:f>pivot_table!$I$4:$I$9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pivot_table!$J$4:$J$9</c:f>
              <c:numCache>
                <c:formatCode>0</c:formatCode>
                <c:ptCount val="5"/>
                <c:pt idx="0">
                  <c:v>1141790</c:v>
                </c:pt>
                <c:pt idx="1">
                  <c:v>1281044</c:v>
                </c:pt>
                <c:pt idx="2">
                  <c:v>1385546</c:v>
                </c:pt>
                <c:pt idx="3">
                  <c:v>1114297</c:v>
                </c:pt>
                <c:pt idx="4">
                  <c:v>1250473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5AA-AB31-4344101B7565}"/>
            </c:ext>
          </c:extLst>
        </c:ser>
        <c:ser>
          <c:idx val="1"/>
          <c:order val="1"/>
          <c:tx>
            <c:strRef>
              <c:f>pivot_table!$K$3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B48-43A5-AB98-8EED6F39F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48-43A5-AB98-8EED6F39F1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B48-43A5-AB98-8EED6F39F1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B48-43A5-AB98-8EED6F39F1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B48-43A5-AB98-8EED6F39F138}"/>
              </c:ext>
            </c:extLst>
          </c:dPt>
          <c:cat>
            <c:strRef>
              <c:f>pivot_table!$I$4:$I$9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pivot_table!$K$4:$K$9</c:f>
              <c:numCache>
                <c:formatCode>General</c:formatCode>
                <c:ptCount val="5"/>
                <c:pt idx="0">
                  <c:v>2191</c:v>
                </c:pt>
                <c:pt idx="1">
                  <c:v>2685</c:v>
                </c:pt>
                <c:pt idx="2">
                  <c:v>2773</c:v>
                </c:pt>
                <c:pt idx="3">
                  <c:v>2371</c:v>
                </c:pt>
                <c:pt idx="4">
                  <c:v>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D-45AA-AB31-4344101B7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pivot_table!$B$10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pivot_table!$A$11:$A$72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pivot_table!$B$11:$B$72</c:f>
              <c:numCache>
                <c:formatCode>0</c:formatCode>
                <c:ptCount val="61"/>
                <c:pt idx="0">
                  <c:v>11179</c:v>
                </c:pt>
                <c:pt idx="1">
                  <c:v>84897</c:v>
                </c:pt>
                <c:pt idx="2">
                  <c:v>78360</c:v>
                </c:pt>
                <c:pt idx="3">
                  <c:v>32121</c:v>
                </c:pt>
                <c:pt idx="4">
                  <c:v>31710</c:v>
                </c:pt>
                <c:pt idx="5">
                  <c:v>68029</c:v>
                </c:pt>
                <c:pt idx="6">
                  <c:v>66394</c:v>
                </c:pt>
                <c:pt idx="7">
                  <c:v>82798</c:v>
                </c:pt>
                <c:pt idx="8">
                  <c:v>86010</c:v>
                </c:pt>
                <c:pt idx="9">
                  <c:v>84725</c:v>
                </c:pt>
                <c:pt idx="10">
                  <c:v>12997</c:v>
                </c:pt>
                <c:pt idx="11">
                  <c:v>49047</c:v>
                </c:pt>
                <c:pt idx="12">
                  <c:v>57969</c:v>
                </c:pt>
                <c:pt idx="13">
                  <c:v>53951</c:v>
                </c:pt>
                <c:pt idx="14">
                  <c:v>80790</c:v>
                </c:pt>
                <c:pt idx="15">
                  <c:v>56841</c:v>
                </c:pt>
                <c:pt idx="16">
                  <c:v>52669</c:v>
                </c:pt>
                <c:pt idx="17">
                  <c:v>63733</c:v>
                </c:pt>
                <c:pt idx="18">
                  <c:v>29613</c:v>
                </c:pt>
                <c:pt idx="19">
                  <c:v>121993</c:v>
                </c:pt>
                <c:pt idx="20">
                  <c:v>106979</c:v>
                </c:pt>
                <c:pt idx="21">
                  <c:v>107107</c:v>
                </c:pt>
                <c:pt idx="22">
                  <c:v>95542</c:v>
                </c:pt>
                <c:pt idx="23">
                  <c:v>64929</c:v>
                </c:pt>
                <c:pt idx="24">
                  <c:v>62362</c:v>
                </c:pt>
                <c:pt idx="25">
                  <c:v>76762</c:v>
                </c:pt>
                <c:pt idx="26">
                  <c:v>66092</c:v>
                </c:pt>
                <c:pt idx="27">
                  <c:v>111987</c:v>
                </c:pt>
                <c:pt idx="28">
                  <c:v>40090</c:v>
                </c:pt>
                <c:pt idx="29">
                  <c:v>163130</c:v>
                </c:pt>
                <c:pt idx="30">
                  <c:v>33633</c:v>
                </c:pt>
                <c:pt idx="31">
                  <c:v>107314</c:v>
                </c:pt>
                <c:pt idx="32">
                  <c:v>29945</c:v>
                </c:pt>
                <c:pt idx="33">
                  <c:v>129538</c:v>
                </c:pt>
                <c:pt idx="34">
                  <c:v>33007</c:v>
                </c:pt>
                <c:pt idx="35">
                  <c:v>56064</c:v>
                </c:pt>
                <c:pt idx="36">
                  <c:v>36013</c:v>
                </c:pt>
                <c:pt idx="37">
                  <c:v>65142</c:v>
                </c:pt>
                <c:pt idx="38">
                  <c:v>34613</c:v>
                </c:pt>
                <c:pt idx="39">
                  <c:v>33441</c:v>
                </c:pt>
                <c:pt idx="40">
                  <c:v>107377</c:v>
                </c:pt>
                <c:pt idx="41">
                  <c:v>40601</c:v>
                </c:pt>
                <c:pt idx="42">
                  <c:v>58469</c:v>
                </c:pt>
                <c:pt idx="43">
                  <c:v>71701</c:v>
                </c:pt>
                <c:pt idx="44">
                  <c:v>75020</c:v>
                </c:pt>
                <c:pt idx="45">
                  <c:v>70467</c:v>
                </c:pt>
                <c:pt idx="46">
                  <c:v>34581</c:v>
                </c:pt>
                <c:pt idx="47">
                  <c:v>77724</c:v>
                </c:pt>
                <c:pt idx="48">
                  <c:v>93283</c:v>
                </c:pt>
                <c:pt idx="49">
                  <c:v>109959</c:v>
                </c:pt>
                <c:pt idx="50">
                  <c:v>95315</c:v>
                </c:pt>
                <c:pt idx="51">
                  <c:v>99812</c:v>
                </c:pt>
                <c:pt idx="52">
                  <c:v>106562</c:v>
                </c:pt>
                <c:pt idx="53">
                  <c:v>40423</c:v>
                </c:pt>
                <c:pt idx="54">
                  <c:v>50855</c:v>
                </c:pt>
                <c:pt idx="55">
                  <c:v>54574</c:v>
                </c:pt>
                <c:pt idx="56">
                  <c:v>51222</c:v>
                </c:pt>
                <c:pt idx="57">
                  <c:v>69538</c:v>
                </c:pt>
                <c:pt idx="58">
                  <c:v>61092</c:v>
                </c:pt>
                <c:pt idx="59">
                  <c:v>51173</c:v>
                </c:pt>
                <c:pt idx="60">
                  <c:v>39430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3-4CE3-8E6E-A33AD8D30966}"/>
            </c:ext>
          </c:extLst>
        </c:ser>
        <c:ser>
          <c:idx val="1"/>
          <c:order val="1"/>
          <c:tx>
            <c:strRef>
              <c:f>pivot_table!$C$10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pivot_table!$A$11:$A$72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pivot_table!$C$11:$C$72</c:f>
              <c:numCache>
                <c:formatCode>General</c:formatCode>
                <c:ptCount val="61"/>
                <c:pt idx="0">
                  <c:v>20</c:v>
                </c:pt>
                <c:pt idx="1">
                  <c:v>154</c:v>
                </c:pt>
                <c:pt idx="2">
                  <c:v>165</c:v>
                </c:pt>
                <c:pt idx="3">
                  <c:v>72</c:v>
                </c:pt>
                <c:pt idx="4">
                  <c:v>50</c:v>
                </c:pt>
                <c:pt idx="5">
                  <c:v>75</c:v>
                </c:pt>
                <c:pt idx="6">
                  <c:v>147</c:v>
                </c:pt>
                <c:pt idx="7">
                  <c:v>197</c:v>
                </c:pt>
                <c:pt idx="8">
                  <c:v>194</c:v>
                </c:pt>
                <c:pt idx="9">
                  <c:v>146</c:v>
                </c:pt>
                <c:pt idx="10">
                  <c:v>48</c:v>
                </c:pt>
                <c:pt idx="11">
                  <c:v>109</c:v>
                </c:pt>
                <c:pt idx="12">
                  <c:v>97</c:v>
                </c:pt>
                <c:pt idx="13">
                  <c:v>89</c:v>
                </c:pt>
                <c:pt idx="14">
                  <c:v>154</c:v>
                </c:pt>
                <c:pt idx="15">
                  <c:v>159</c:v>
                </c:pt>
                <c:pt idx="16">
                  <c:v>89</c:v>
                </c:pt>
                <c:pt idx="17">
                  <c:v>165</c:v>
                </c:pt>
                <c:pt idx="18">
                  <c:v>68</c:v>
                </c:pt>
                <c:pt idx="19">
                  <c:v>182</c:v>
                </c:pt>
                <c:pt idx="20">
                  <c:v>213</c:v>
                </c:pt>
                <c:pt idx="21">
                  <c:v>262</c:v>
                </c:pt>
                <c:pt idx="22">
                  <c:v>154</c:v>
                </c:pt>
                <c:pt idx="23">
                  <c:v>142</c:v>
                </c:pt>
                <c:pt idx="24">
                  <c:v>149</c:v>
                </c:pt>
                <c:pt idx="25">
                  <c:v>167</c:v>
                </c:pt>
                <c:pt idx="26">
                  <c:v>154</c:v>
                </c:pt>
                <c:pt idx="27">
                  <c:v>239</c:v>
                </c:pt>
                <c:pt idx="28">
                  <c:v>151</c:v>
                </c:pt>
                <c:pt idx="29">
                  <c:v>305</c:v>
                </c:pt>
                <c:pt idx="30">
                  <c:v>80</c:v>
                </c:pt>
                <c:pt idx="31">
                  <c:v>173</c:v>
                </c:pt>
                <c:pt idx="32">
                  <c:v>66</c:v>
                </c:pt>
                <c:pt idx="33">
                  <c:v>314</c:v>
                </c:pt>
                <c:pt idx="34">
                  <c:v>94</c:v>
                </c:pt>
                <c:pt idx="35">
                  <c:v>137</c:v>
                </c:pt>
                <c:pt idx="36">
                  <c:v>61</c:v>
                </c:pt>
                <c:pt idx="37">
                  <c:v>185</c:v>
                </c:pt>
                <c:pt idx="38">
                  <c:v>75</c:v>
                </c:pt>
                <c:pt idx="39">
                  <c:v>76</c:v>
                </c:pt>
                <c:pt idx="40">
                  <c:v>238</c:v>
                </c:pt>
                <c:pt idx="41">
                  <c:v>85</c:v>
                </c:pt>
                <c:pt idx="42">
                  <c:v>131</c:v>
                </c:pt>
                <c:pt idx="43">
                  <c:v>152</c:v>
                </c:pt>
                <c:pt idx="44">
                  <c:v>130</c:v>
                </c:pt>
                <c:pt idx="45">
                  <c:v>124</c:v>
                </c:pt>
                <c:pt idx="46">
                  <c:v>140</c:v>
                </c:pt>
                <c:pt idx="47">
                  <c:v>145</c:v>
                </c:pt>
                <c:pt idx="48">
                  <c:v>181</c:v>
                </c:pt>
                <c:pt idx="49">
                  <c:v>108</c:v>
                </c:pt>
                <c:pt idx="50">
                  <c:v>169</c:v>
                </c:pt>
                <c:pt idx="51">
                  <c:v>247</c:v>
                </c:pt>
                <c:pt idx="52">
                  <c:v>222</c:v>
                </c:pt>
                <c:pt idx="53">
                  <c:v>89</c:v>
                </c:pt>
                <c:pt idx="54">
                  <c:v>105</c:v>
                </c:pt>
                <c:pt idx="55">
                  <c:v>120</c:v>
                </c:pt>
                <c:pt idx="56">
                  <c:v>150</c:v>
                </c:pt>
                <c:pt idx="57">
                  <c:v>129</c:v>
                </c:pt>
                <c:pt idx="58">
                  <c:v>93</c:v>
                </c:pt>
                <c:pt idx="59">
                  <c:v>100</c:v>
                </c:pt>
                <c:pt idx="6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3-4CE3-8E6E-A33AD8D30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286023"/>
        <c:axId val="771288071"/>
      </c:lineChart>
      <c:catAx>
        <c:axId val="77128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88071"/>
        <c:crosses val="autoZero"/>
        <c:auto val="1"/>
        <c:lblAlgn val="ctr"/>
        <c:lblOffset val="100"/>
        <c:noMultiLvlLbl val="0"/>
      </c:catAx>
      <c:valAx>
        <c:axId val="77128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8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pivot_table!$B$4:$B$7</c:f>
              <c:numCache>
                <c:formatCode>0</c:formatCode>
                <c:ptCount val="3"/>
                <c:pt idx="0">
                  <c:v>300653</c:v>
                </c:pt>
                <c:pt idx="1">
                  <c:v>416016</c:v>
                </c:pt>
                <c:pt idx="2">
                  <c:v>369767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0-4C19-9644-839FF66E0DDE}"/>
            </c:ext>
          </c:extLst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pivot_table!$C$4:$C$7</c:f>
              <c:numCache>
                <c:formatCode>General</c:formatCode>
                <c:ptCount val="3"/>
                <c:pt idx="0">
                  <c:v>67477</c:v>
                </c:pt>
                <c:pt idx="1">
                  <c:v>115391</c:v>
                </c:pt>
                <c:pt idx="2">
                  <c:v>95946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0-4C19-9644-839FF66E0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617544"/>
        <c:axId val="1695619592"/>
      </c:barChart>
      <c:catAx>
        <c:axId val="169561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19592"/>
        <c:crosses val="autoZero"/>
        <c:auto val="1"/>
        <c:lblAlgn val="ctr"/>
        <c:lblOffset val="100"/>
        <c:noMultiLvlLbl val="0"/>
      </c:catAx>
      <c:valAx>
        <c:axId val="169561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1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pivot_table!$F$3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pivot_table!$E$4:$E$10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pivot_table!$F$4:$F$10</c:f>
              <c:numCache>
                <c:formatCode>0</c:formatCode>
                <c:ptCount val="6"/>
                <c:pt idx="0">
                  <c:v>1086436</c:v>
                </c:pt>
                <c:pt idx="1">
                  <c:v>1091174</c:v>
                </c:pt>
                <c:pt idx="2">
                  <c:v>978738</c:v>
                </c:pt>
                <c:pt idx="3">
                  <c:v>1120559</c:v>
                </c:pt>
                <c:pt idx="4">
                  <c:v>884768</c:v>
                </c:pt>
                <c:pt idx="5">
                  <c:v>1011475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4-497F-96C9-2C680FBB5FAC}"/>
            </c:ext>
          </c:extLst>
        </c:ser>
        <c:ser>
          <c:idx val="1"/>
          <c:order val="1"/>
          <c:tx>
            <c:strRef>
              <c:f>pivot_table!$G$3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pivot_table!$E$4:$E$10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pivot_table!$G$4:$G$10</c:f>
              <c:numCache>
                <c:formatCode>General</c:formatCode>
                <c:ptCount val="6"/>
                <c:pt idx="0">
                  <c:v>2319</c:v>
                </c:pt>
                <c:pt idx="1">
                  <c:v>2145</c:v>
                </c:pt>
                <c:pt idx="2">
                  <c:v>1820</c:v>
                </c:pt>
                <c:pt idx="3">
                  <c:v>2479</c:v>
                </c:pt>
                <c:pt idx="4">
                  <c:v>2041</c:v>
                </c:pt>
                <c:pt idx="5">
                  <c:v>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4-497F-96C9-2C680FBB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3387912"/>
        <c:axId val="1923389960"/>
      </c:barChart>
      <c:catAx>
        <c:axId val="1923387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389960"/>
        <c:crosses val="autoZero"/>
        <c:auto val="1"/>
        <c:lblAlgn val="ctr"/>
        <c:lblOffset val="100"/>
        <c:noMultiLvlLbl val="0"/>
      </c:catAx>
      <c:valAx>
        <c:axId val="192338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38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pivot_table!$J$3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FC-4553-9EE5-7CC9679BD8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FC-4553-9EE5-7CC9679BD8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FC-4553-9EE5-7CC9679BD8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FC-4553-9EE5-7CC9679BD8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FC-4553-9EE5-7CC9679BD8B6}"/>
              </c:ext>
            </c:extLst>
          </c:dPt>
          <c:cat>
            <c:strRef>
              <c:f>pivot_table!$I$4:$I$9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pivot_table!$J$4:$J$9</c:f>
              <c:numCache>
                <c:formatCode>0</c:formatCode>
                <c:ptCount val="5"/>
                <c:pt idx="0">
                  <c:v>1141790</c:v>
                </c:pt>
                <c:pt idx="1">
                  <c:v>1281044</c:v>
                </c:pt>
                <c:pt idx="2">
                  <c:v>1385546</c:v>
                </c:pt>
                <c:pt idx="3">
                  <c:v>1114297</c:v>
                </c:pt>
                <c:pt idx="4">
                  <c:v>1250473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FC-4553-9EE5-7CC9679BD8B6}"/>
            </c:ext>
          </c:extLst>
        </c:ser>
        <c:ser>
          <c:idx val="1"/>
          <c:order val="1"/>
          <c:tx>
            <c:strRef>
              <c:f>pivot_table!$K$3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3FC-4553-9EE5-7CC9679BD8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3FC-4553-9EE5-7CC9679BD8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3FC-4553-9EE5-7CC9679BD8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3FC-4553-9EE5-7CC9679BD8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3FC-4553-9EE5-7CC9679BD8B6}"/>
              </c:ext>
            </c:extLst>
          </c:dPt>
          <c:cat>
            <c:strRef>
              <c:f>pivot_table!$I$4:$I$9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pivot_table!$K$4:$K$9</c:f>
              <c:numCache>
                <c:formatCode>General</c:formatCode>
                <c:ptCount val="5"/>
                <c:pt idx="0">
                  <c:v>2191</c:v>
                </c:pt>
                <c:pt idx="1">
                  <c:v>2685</c:v>
                </c:pt>
                <c:pt idx="2">
                  <c:v>2773</c:v>
                </c:pt>
                <c:pt idx="3">
                  <c:v>2371</c:v>
                </c:pt>
                <c:pt idx="4">
                  <c:v>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3FC-4553-9EE5-7CC9679BD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pivot_table!$B$10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pivot_table!$A$11:$A$72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pivot_table!$B$11:$B$72</c:f>
              <c:numCache>
                <c:formatCode>0</c:formatCode>
                <c:ptCount val="61"/>
                <c:pt idx="0">
                  <c:v>11179</c:v>
                </c:pt>
                <c:pt idx="1">
                  <c:v>84897</c:v>
                </c:pt>
                <c:pt idx="2">
                  <c:v>78360</c:v>
                </c:pt>
                <c:pt idx="3">
                  <c:v>32121</c:v>
                </c:pt>
                <c:pt idx="4">
                  <c:v>31710</c:v>
                </c:pt>
                <c:pt idx="5">
                  <c:v>68029</c:v>
                </c:pt>
                <c:pt idx="6">
                  <c:v>66394</c:v>
                </c:pt>
                <c:pt idx="7">
                  <c:v>82798</c:v>
                </c:pt>
                <c:pt idx="8">
                  <c:v>86010</c:v>
                </c:pt>
                <c:pt idx="9">
                  <c:v>84725</c:v>
                </c:pt>
                <c:pt idx="10">
                  <c:v>12997</c:v>
                </c:pt>
                <c:pt idx="11">
                  <c:v>49047</c:v>
                </c:pt>
                <c:pt idx="12">
                  <c:v>57969</c:v>
                </c:pt>
                <c:pt idx="13">
                  <c:v>53951</c:v>
                </c:pt>
                <c:pt idx="14">
                  <c:v>80790</c:v>
                </c:pt>
                <c:pt idx="15">
                  <c:v>56841</c:v>
                </c:pt>
                <c:pt idx="16">
                  <c:v>52669</c:v>
                </c:pt>
                <c:pt idx="17">
                  <c:v>63733</c:v>
                </c:pt>
                <c:pt idx="18">
                  <c:v>29613</c:v>
                </c:pt>
                <c:pt idx="19">
                  <c:v>121993</c:v>
                </c:pt>
                <c:pt idx="20">
                  <c:v>106979</c:v>
                </c:pt>
                <c:pt idx="21">
                  <c:v>107107</c:v>
                </c:pt>
                <c:pt idx="22">
                  <c:v>95542</c:v>
                </c:pt>
                <c:pt idx="23">
                  <c:v>64929</c:v>
                </c:pt>
                <c:pt idx="24">
                  <c:v>62362</c:v>
                </c:pt>
                <c:pt idx="25">
                  <c:v>76762</c:v>
                </c:pt>
                <c:pt idx="26">
                  <c:v>66092</c:v>
                </c:pt>
                <c:pt idx="27">
                  <c:v>111987</c:v>
                </c:pt>
                <c:pt idx="28">
                  <c:v>40090</c:v>
                </c:pt>
                <c:pt idx="29">
                  <c:v>163130</c:v>
                </c:pt>
                <c:pt idx="30">
                  <c:v>33633</c:v>
                </c:pt>
                <c:pt idx="31">
                  <c:v>107314</c:v>
                </c:pt>
                <c:pt idx="32">
                  <c:v>29945</c:v>
                </c:pt>
                <c:pt idx="33">
                  <c:v>129538</c:v>
                </c:pt>
                <c:pt idx="34">
                  <c:v>33007</c:v>
                </c:pt>
                <c:pt idx="35">
                  <c:v>56064</c:v>
                </c:pt>
                <c:pt idx="36">
                  <c:v>36013</c:v>
                </c:pt>
                <c:pt idx="37">
                  <c:v>65142</c:v>
                </c:pt>
                <c:pt idx="38">
                  <c:v>34613</c:v>
                </c:pt>
                <c:pt idx="39">
                  <c:v>33441</c:v>
                </c:pt>
                <c:pt idx="40">
                  <c:v>107377</c:v>
                </c:pt>
                <c:pt idx="41">
                  <c:v>40601</c:v>
                </c:pt>
                <c:pt idx="42">
                  <c:v>58469</c:v>
                </c:pt>
                <c:pt idx="43">
                  <c:v>71701</c:v>
                </c:pt>
                <c:pt idx="44">
                  <c:v>75020</c:v>
                </c:pt>
                <c:pt idx="45">
                  <c:v>70467</c:v>
                </c:pt>
                <c:pt idx="46">
                  <c:v>34581</c:v>
                </c:pt>
                <c:pt idx="47">
                  <c:v>77724</c:v>
                </c:pt>
                <c:pt idx="48">
                  <c:v>93283</c:v>
                </c:pt>
                <c:pt idx="49">
                  <c:v>109959</c:v>
                </c:pt>
                <c:pt idx="50">
                  <c:v>95315</c:v>
                </c:pt>
                <c:pt idx="51">
                  <c:v>99812</c:v>
                </c:pt>
                <c:pt idx="52">
                  <c:v>106562</c:v>
                </c:pt>
                <c:pt idx="53">
                  <c:v>40423</c:v>
                </c:pt>
                <c:pt idx="54">
                  <c:v>50855</c:v>
                </c:pt>
                <c:pt idx="55">
                  <c:v>54574</c:v>
                </c:pt>
                <c:pt idx="56">
                  <c:v>51222</c:v>
                </c:pt>
                <c:pt idx="57">
                  <c:v>69538</c:v>
                </c:pt>
                <c:pt idx="58">
                  <c:v>61092</c:v>
                </c:pt>
                <c:pt idx="59">
                  <c:v>51173</c:v>
                </c:pt>
                <c:pt idx="60">
                  <c:v>39430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7-4248-9DC5-8B8443751DA5}"/>
            </c:ext>
          </c:extLst>
        </c:ser>
        <c:ser>
          <c:idx val="1"/>
          <c:order val="1"/>
          <c:tx>
            <c:strRef>
              <c:f>pivot_table!$C$10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pivot_table!$A$11:$A$72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pivot_table!$C$11:$C$72</c:f>
              <c:numCache>
                <c:formatCode>General</c:formatCode>
                <c:ptCount val="61"/>
                <c:pt idx="0">
                  <c:v>20</c:v>
                </c:pt>
                <c:pt idx="1">
                  <c:v>154</c:v>
                </c:pt>
                <c:pt idx="2">
                  <c:v>165</c:v>
                </c:pt>
                <c:pt idx="3">
                  <c:v>72</c:v>
                </c:pt>
                <c:pt idx="4">
                  <c:v>50</c:v>
                </c:pt>
                <c:pt idx="5">
                  <c:v>75</c:v>
                </c:pt>
                <c:pt idx="6">
                  <c:v>147</c:v>
                </c:pt>
                <c:pt idx="7">
                  <c:v>197</c:v>
                </c:pt>
                <c:pt idx="8">
                  <c:v>194</c:v>
                </c:pt>
                <c:pt idx="9">
                  <c:v>146</c:v>
                </c:pt>
                <c:pt idx="10">
                  <c:v>48</c:v>
                </c:pt>
                <c:pt idx="11">
                  <c:v>109</c:v>
                </c:pt>
                <c:pt idx="12">
                  <c:v>97</c:v>
                </c:pt>
                <c:pt idx="13">
                  <c:v>89</c:v>
                </c:pt>
                <c:pt idx="14">
                  <c:v>154</c:v>
                </c:pt>
                <c:pt idx="15">
                  <c:v>159</c:v>
                </c:pt>
                <c:pt idx="16">
                  <c:v>89</c:v>
                </c:pt>
                <c:pt idx="17">
                  <c:v>165</c:v>
                </c:pt>
                <c:pt idx="18">
                  <c:v>68</c:v>
                </c:pt>
                <c:pt idx="19">
                  <c:v>182</c:v>
                </c:pt>
                <c:pt idx="20">
                  <c:v>213</c:v>
                </c:pt>
                <c:pt idx="21">
                  <c:v>262</c:v>
                </c:pt>
                <c:pt idx="22">
                  <c:v>154</c:v>
                </c:pt>
                <c:pt idx="23">
                  <c:v>142</c:v>
                </c:pt>
                <c:pt idx="24">
                  <c:v>149</c:v>
                </c:pt>
                <c:pt idx="25">
                  <c:v>167</c:v>
                </c:pt>
                <c:pt idx="26">
                  <c:v>154</c:v>
                </c:pt>
                <c:pt idx="27">
                  <c:v>239</c:v>
                </c:pt>
                <c:pt idx="28">
                  <c:v>151</c:v>
                </c:pt>
                <c:pt idx="29">
                  <c:v>305</c:v>
                </c:pt>
                <c:pt idx="30">
                  <c:v>80</c:v>
                </c:pt>
                <c:pt idx="31">
                  <c:v>173</c:v>
                </c:pt>
                <c:pt idx="32">
                  <c:v>66</c:v>
                </c:pt>
                <c:pt idx="33">
                  <c:v>314</c:v>
                </c:pt>
                <c:pt idx="34">
                  <c:v>94</c:v>
                </c:pt>
                <c:pt idx="35">
                  <c:v>137</c:v>
                </c:pt>
                <c:pt idx="36">
                  <c:v>61</c:v>
                </c:pt>
                <c:pt idx="37">
                  <c:v>185</c:v>
                </c:pt>
                <c:pt idx="38">
                  <c:v>75</c:v>
                </c:pt>
                <c:pt idx="39">
                  <c:v>76</c:v>
                </c:pt>
                <c:pt idx="40">
                  <c:v>238</c:v>
                </c:pt>
                <c:pt idx="41">
                  <c:v>85</c:v>
                </c:pt>
                <c:pt idx="42">
                  <c:v>131</c:v>
                </c:pt>
                <c:pt idx="43">
                  <c:v>152</c:v>
                </c:pt>
                <c:pt idx="44">
                  <c:v>130</c:v>
                </c:pt>
                <c:pt idx="45">
                  <c:v>124</c:v>
                </c:pt>
                <c:pt idx="46">
                  <c:v>140</c:v>
                </c:pt>
                <c:pt idx="47">
                  <c:v>145</c:v>
                </c:pt>
                <c:pt idx="48">
                  <c:v>181</c:v>
                </c:pt>
                <c:pt idx="49">
                  <c:v>108</c:v>
                </c:pt>
                <c:pt idx="50">
                  <c:v>169</c:v>
                </c:pt>
                <c:pt idx="51">
                  <c:v>247</c:v>
                </c:pt>
                <c:pt idx="52">
                  <c:v>222</c:v>
                </c:pt>
                <c:pt idx="53">
                  <c:v>89</c:v>
                </c:pt>
                <c:pt idx="54">
                  <c:v>105</c:v>
                </c:pt>
                <c:pt idx="55">
                  <c:v>120</c:v>
                </c:pt>
                <c:pt idx="56">
                  <c:v>150</c:v>
                </c:pt>
                <c:pt idx="57">
                  <c:v>129</c:v>
                </c:pt>
                <c:pt idx="58">
                  <c:v>93</c:v>
                </c:pt>
                <c:pt idx="59">
                  <c:v>100</c:v>
                </c:pt>
                <c:pt idx="6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7-4248-9DC5-8B8443751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286023"/>
        <c:axId val="771288071"/>
      </c:lineChart>
      <c:catAx>
        <c:axId val="771286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88071"/>
        <c:crosses val="autoZero"/>
        <c:auto val="1"/>
        <c:lblAlgn val="ctr"/>
        <c:lblOffset val="100"/>
        <c:noMultiLvlLbl val="0"/>
      </c:catAx>
      <c:valAx>
        <c:axId val="77128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8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10</xdr:row>
      <xdr:rowOff>142875</xdr:rowOff>
    </xdr:from>
    <xdr:to>
      <xdr:col>5</xdr:col>
      <xdr:colOff>809625</xdr:colOff>
      <xdr:row>24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E9553030-D0EA-334C-4EE7-5293DF5776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1900" y="2047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247650</xdr:colOff>
      <xdr:row>11</xdr:row>
      <xdr:rowOff>47625</xdr:rowOff>
    </xdr:from>
    <xdr:to>
      <xdr:col>9</xdr:col>
      <xdr:colOff>933450</xdr:colOff>
      <xdr:row>25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ymentMode">
              <a:extLst>
                <a:ext uri="{FF2B5EF4-FFF2-40B4-BE49-F238E27FC236}">
                  <a16:creationId xmlns:a16="http://schemas.microsoft.com/office/drawing/2014/main" id="{67A657B6-6974-AA0B-7C55-91DCC0DF69D9}"/>
                </a:ext>
                <a:ext uri="{147F2762-F138-4A5C-976F-8EAC2B608ADB}">
                  <a16:predDERef xmlns:a16="http://schemas.microsoft.com/office/drawing/2014/main" pred="{E9553030-D0EA-334C-4EE7-5293DF5776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6225" y="2143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10</xdr:row>
      <xdr:rowOff>161925</xdr:rowOff>
    </xdr:from>
    <xdr:to>
      <xdr:col>7</xdr:col>
      <xdr:colOff>800100</xdr:colOff>
      <xdr:row>24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e">
              <a:extLst>
                <a:ext uri="{FF2B5EF4-FFF2-40B4-BE49-F238E27FC236}">
                  <a16:creationId xmlns:a16="http://schemas.microsoft.com/office/drawing/2014/main" id="{8FF9FF37-0DFD-F884-A755-A8EC263322E5}"/>
                </a:ext>
                <a:ext uri="{147F2762-F138-4A5C-976F-8EAC2B608ADB}">
                  <a16:predDERef xmlns:a16="http://schemas.microsoft.com/office/drawing/2014/main" pred="{67A657B6-6974-AA0B-7C55-91DCC0DF69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2066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609600</xdr:colOff>
      <xdr:row>25</xdr:row>
      <xdr:rowOff>38100</xdr:rowOff>
    </xdr:from>
    <xdr:to>
      <xdr:col>8</xdr:col>
      <xdr:colOff>533400</xdr:colOff>
      <xdr:row>39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8881CE-CE1E-344D-80D8-8B1BFE1F6897}"/>
            </a:ext>
            <a:ext uri="{147F2762-F138-4A5C-976F-8EAC2B608ADB}">
              <a16:predDERef xmlns:a16="http://schemas.microsoft.com/office/drawing/2014/main" pred="{8FF9FF37-0DFD-F884-A755-A8EC26332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40</xdr:row>
      <xdr:rowOff>19050</xdr:rowOff>
    </xdr:from>
    <xdr:to>
      <xdr:col>8</xdr:col>
      <xdr:colOff>533400</xdr:colOff>
      <xdr:row>54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D354AE-DC0A-AAC3-1AC6-8E4AFE5AD5F9}"/>
            </a:ext>
            <a:ext uri="{147F2762-F138-4A5C-976F-8EAC2B608ADB}">
              <a16:predDERef xmlns:a16="http://schemas.microsoft.com/office/drawing/2014/main" pred="{1C8881CE-CE1E-344D-80D8-8B1BFE1F6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114300</xdr:colOff>
      <xdr:row>2</xdr:row>
      <xdr:rowOff>161925</xdr:rowOff>
    </xdr:from>
    <xdr:to>
      <xdr:col>23</xdr:col>
      <xdr:colOff>419100</xdr:colOff>
      <xdr:row>17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E07CA3-5CA8-E923-A792-B8BD89A7B0B0}"/>
            </a:ext>
            <a:ext uri="{147F2762-F138-4A5C-976F-8EAC2B608ADB}">
              <a16:predDERef xmlns:a16="http://schemas.microsoft.com/office/drawing/2014/main" pred="{51D354AE-DC0A-AAC3-1AC6-8E4AFE5AD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695325</xdr:colOff>
      <xdr:row>25</xdr:row>
      <xdr:rowOff>161925</xdr:rowOff>
    </xdr:from>
    <xdr:to>
      <xdr:col>13</xdr:col>
      <xdr:colOff>466725</xdr:colOff>
      <xdr:row>40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8A0D6C-60E4-EC4D-00FE-686F16770D9C}"/>
            </a:ext>
            <a:ext uri="{147F2762-F138-4A5C-976F-8EAC2B608ADB}">
              <a16:predDERef xmlns:a16="http://schemas.microsoft.com/office/drawing/2014/main" pred="{D8E07CA3-5CA8-E923-A792-B8BD89A7B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542925</xdr:colOff>
      <xdr:row>2</xdr:row>
      <xdr:rowOff>114300</xdr:rowOff>
    </xdr:from>
    <xdr:to>
      <xdr:col>7</xdr:col>
      <xdr:colOff>352425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y 1">
              <a:extLst>
                <a:ext uri="{FF2B5EF4-FFF2-40B4-BE49-F238E27FC236}">
                  <a16:creationId xmlns:a16="http://schemas.microsoft.com/office/drawing/2014/main" id="{A3766467-6822-4270-B093-2C4FCA577190}"/>
                </a:ext>
                <a:ext uri="{147F2762-F138-4A5C-976F-8EAC2B608ADB}">
                  <a16:predDERef xmlns:a16="http://schemas.microsoft.com/office/drawing/2014/main" pred="{A28A0D6C-60E4-EC4D-00FE-686F16770D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6825" y="495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19050</xdr:colOff>
      <xdr:row>3</xdr:row>
      <xdr:rowOff>133350</xdr:rowOff>
    </xdr:from>
    <xdr:to>
      <xdr:col>7</xdr:col>
      <xdr:colOff>819150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aymentMode 1">
              <a:extLst>
                <a:ext uri="{FF2B5EF4-FFF2-40B4-BE49-F238E27FC236}">
                  <a16:creationId xmlns:a16="http://schemas.microsoft.com/office/drawing/2014/main" id="{DD40AB8E-69EB-6536-7FCA-07D3EE0193BA}"/>
                </a:ext>
                <a:ext uri="{147F2762-F138-4A5C-976F-8EAC2B608ADB}">
                  <a16:predDERef xmlns:a16="http://schemas.microsoft.com/office/drawing/2014/main" pred="{A3766467-6822-4270-B093-2C4FCA5771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o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3550" y="704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276225</xdr:colOff>
      <xdr:row>18</xdr:row>
      <xdr:rowOff>95250</xdr:rowOff>
    </xdr:from>
    <xdr:to>
      <xdr:col>4</xdr:col>
      <xdr:colOff>238125</xdr:colOff>
      <xdr:row>32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State 1">
              <a:extLst>
                <a:ext uri="{FF2B5EF4-FFF2-40B4-BE49-F238E27FC236}">
                  <a16:creationId xmlns:a16="http://schemas.microsoft.com/office/drawing/2014/main" id="{2539E11D-F56E-45DE-070D-A60E15DC01DD}"/>
                </a:ext>
                <a:ext uri="{147F2762-F138-4A5C-976F-8EAC2B608ADB}">
                  <a16:predDERef xmlns:a16="http://schemas.microsoft.com/office/drawing/2014/main" pred="{DD40AB8E-69EB-6536-7FCA-07D3EE0193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1225" y="3524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7</xdr:col>
      <xdr:colOff>304800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62E5F-89B5-4E5B-BF85-33C20A807082}"/>
            </a:ext>
            <a:ext uri="{147F2762-F138-4A5C-976F-8EAC2B608ADB}">
              <a16:predDERef xmlns:a16="http://schemas.microsoft.com/office/drawing/2014/main" pred="{8FF9FF37-0DFD-F884-A755-A8EC26332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10</xdr:row>
      <xdr:rowOff>0</xdr:rowOff>
    </xdr:from>
    <xdr:to>
      <xdr:col>15</xdr:col>
      <xdr:colOff>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0B3F0-A1D6-4728-9CAA-79437A320191}"/>
            </a:ext>
            <a:ext uri="{147F2762-F138-4A5C-976F-8EAC2B608ADB}">
              <a16:predDERef xmlns:a16="http://schemas.microsoft.com/office/drawing/2014/main" pred="{E8862E5F-89B5-4E5B-BF85-33C20A807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85725</xdr:rowOff>
    </xdr:from>
    <xdr:to>
      <xdr:col>7</xdr:col>
      <xdr:colOff>304800</xdr:colOff>
      <xdr:row>38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041C23-94CA-4AD5-8DBD-42D44E0B3C29}"/>
            </a:ext>
            <a:ext uri="{147F2762-F138-4A5C-976F-8EAC2B608ADB}">
              <a16:predDERef xmlns:a16="http://schemas.microsoft.com/office/drawing/2014/main" pred="{AAB0B3F0-A1D6-4728-9CAA-79437A320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24</xdr:row>
      <xdr:rowOff>95250</xdr:rowOff>
    </xdr:from>
    <xdr:to>
      <xdr:col>15</xdr:col>
      <xdr:colOff>0</xdr:colOff>
      <xdr:row>38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CC62B2-05EE-4DA7-9B66-65BE73297DB3}"/>
            </a:ext>
            <a:ext uri="{147F2762-F138-4A5C-976F-8EAC2B608ADB}">
              <a16:predDERef xmlns:a16="http://schemas.microsoft.com/office/drawing/2014/main" pred="{2B041C23-94CA-4AD5-8DBD-42D44E0B3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</xdr:row>
      <xdr:rowOff>180975</xdr:rowOff>
    </xdr:from>
    <xdr:to>
      <xdr:col>15</xdr:col>
      <xdr:colOff>9525</xdr:colOff>
      <xdr:row>52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A7FFAA-DBC6-BA68-FCB5-657324251F29}"/>
            </a:ext>
            <a:ext uri="{147F2762-F138-4A5C-976F-8EAC2B608ADB}">
              <a16:predDERef xmlns:a16="http://schemas.microsoft.com/office/drawing/2014/main" pred="{77CC62B2-05EE-4DA7-9B66-65BE73297DB3}"/>
            </a:ext>
          </a:extLst>
        </xdr:cNvPr>
        <xdr:cNvSpPr txBox="1"/>
      </xdr:nvSpPr>
      <xdr:spPr>
        <a:xfrm>
          <a:off x="0" y="7419975"/>
          <a:ext cx="9153525" cy="260985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🔍 KEY INSIGHTS:</a:t>
          </a:r>
        </a:p>
        <a:p>
          <a:pPr marL="0" indent="0" algn="l"/>
          <a:endParaRPr lang="en-US" sz="1100" b="1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 NEW YORK IS TOP STATE — ₹11,20,559 REVENUE (18% OF TOTAL)</a:t>
          </a:r>
        </a:p>
        <a:p>
          <a:pPr marL="0" indent="0" algn="l"/>
          <a:endParaRPr lang="en-US" sz="1100" b="1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2. MARKERS IS BEST SUB-CATEGORY — ₹6,27,875 REVENUE</a:t>
          </a:r>
        </a:p>
        <a:p>
          <a:pPr marL="0" indent="0" algn="l"/>
          <a:endParaRPr lang="en-US" sz="1100" b="1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3. DEBIT CARD DOMINATES — 22% OF ALL TRANSACTIONS</a:t>
          </a:r>
        </a:p>
        <a:p>
          <a:pPr marL="0" indent="0" algn="l"/>
          <a:endParaRPr lang="en-US" sz="1100" b="1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4. DECEMBER 2022 WAS PEAK MONTH — ₹2,04,413 REVENUE</a:t>
          </a:r>
        </a:p>
        <a:p>
          <a:pPr marL="0" indent="0" algn="l"/>
          <a:endParaRPr lang="en-US" sz="1100" b="1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5. OFFICE SUPPLIES LEADS CATEGORY — ₹20,89,510 REVENUE</a:t>
          </a:r>
        </a:p>
        <a:p>
          <a:pPr marL="0" indent="0" algn="l"/>
          <a:endParaRPr lang="en-US" sz="1100" b="1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6. OVERALL PROFIT MARGIN IS 26% — HEALTHY BUSINESS!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632721643517" createdVersion="8" refreshedVersion="8" minRefreshableVersion="3" recordCount="1194" xr:uid="{53ACA659-FB64-4D48-9943-7D9808F89BEF}">
  <cacheSource type="worksheet">
    <worksheetSource ref="A1:L1195" sheet="sales_dataset"/>
  </cacheSource>
  <cacheFields count="12">
    <cacheField name="ORDER ID" numFmtId="0">
      <sharedItems/>
    </cacheField>
    <cacheField name="Amount" numFmtId="1">
      <sharedItems containsSemiMixedTypes="0" containsString="0" containsNumber="1" containsInteger="1" minValue="500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Office Supplies"/>
        <s v="Furniture"/>
        <s v="Electronics"/>
      </sharedItems>
    </cacheField>
    <cacheField name="Sub-Category" numFmtId="0">
      <sharedItems count="12">
        <s v="Pens"/>
        <s v="Tables"/>
        <s v="Markers"/>
        <s v="Electronic Games"/>
        <s v="Sofas"/>
        <s v="Chairs"/>
        <s v="Bookcases"/>
        <s v="Paper"/>
        <s v="Binders"/>
        <s v="Printers"/>
        <s v="Laptops"/>
        <s v="Phones"/>
      </sharedItems>
    </cacheField>
    <cacheField name="PaymentMode" numFmtId="0">
      <sharedItems count="5">
        <s v="Debit Card"/>
        <s v="COD"/>
        <s v="EMI"/>
        <s v="UPI"/>
        <s v="Credit Card"/>
      </sharedItems>
    </cacheField>
    <cacheField name="Order Date" numFmtId="0">
      <sharedItems containsDate="1" containsMixedTypes="1" minDate="2020-01-09T00:00:00" maxDate="2025-11-03T00:00:00"/>
    </cacheField>
    <cacheField name="CustomerName" numFmtId="0">
      <sharedItems/>
    </cacheField>
    <cacheField name="State" numFmtId="0">
      <sharedItems count="6">
        <s v="New York"/>
        <s v="Texas"/>
        <s v="Ohio"/>
        <s v="Florida"/>
        <s v="California"/>
        <s v="Illinois"/>
      </sharedItems>
    </cacheField>
    <cacheField name="City" numFmtId="0">
      <sharedItems/>
    </cacheField>
    <cacheField name="Year-Month" numFmtId="0">
      <sharedItems count="61">
        <s v="2021-10"/>
        <s v="2022-04"/>
        <s v="2022-08"/>
        <s v="2022-03"/>
        <s v="2022-09"/>
        <s v="2020-06"/>
        <s v="2023-09"/>
        <s v="2023-03"/>
        <s v="2021-04"/>
        <s v="2022-12"/>
        <s v="2022-06"/>
        <s v="2024-06"/>
        <s v="2021-05"/>
        <s v="2022-01"/>
        <s v="2021-07"/>
        <s v="2023-12"/>
        <s v="2024-02"/>
        <s v="2021-06"/>
        <s v="2020-04"/>
        <s v="2020-10"/>
        <s v="2023-06"/>
        <s v="2025-02"/>
        <s v="2020-08"/>
        <s v="2023-07"/>
        <s v="2024-04"/>
        <s v="2025-03"/>
        <s v="2023-04"/>
        <s v="2020-09"/>
        <s v="2021-11"/>
        <s v="2022-10"/>
        <s v="2021-08"/>
        <s v="2020-07"/>
        <s v="2020-11"/>
        <s v="2024-07"/>
        <s v="2024-12"/>
        <s v="2025-01"/>
        <s v="2021-03"/>
        <s v="2023-11"/>
        <s v="2023-05"/>
        <s v="2024-09"/>
        <s v="2024-03"/>
        <s v="2022-05"/>
        <s v="2021-02"/>
        <s v="2023-10"/>
        <s v="2024-05"/>
        <s v="2021-12"/>
        <s v="2024-11"/>
        <s v="2022-02"/>
        <s v="2020-05"/>
        <s v="2020-03"/>
        <s v="2024-10"/>
        <s v="2023-02"/>
        <s v="2023-01"/>
        <s v="2020-12"/>
        <s v="2024-01"/>
        <s v="2023-08"/>
        <s v="2022-11"/>
        <s v="2024-08"/>
        <s v="2021-09"/>
        <s v="2022-07"/>
        <s v="2021-01"/>
      </sharedItems>
    </cacheField>
  </cacheFields>
  <extLst>
    <ext xmlns:x14="http://schemas.microsoft.com/office/spreadsheetml/2009/9/main" uri="{725AE2AE-9491-48be-B2B4-4EB974FC3084}">
      <x14:pivotCacheDefinition pivotCacheId="17777585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5936"/>
    <n v="9992"/>
    <n v="3696"/>
    <n v="20"/>
    <x v="0"/>
    <x v="0"/>
    <x v="0"/>
    <d v="2021-09-10T00:00:00"/>
    <s v="Patrick Williams"/>
    <x v="0"/>
    <s v="Rochester"/>
    <x v="0"/>
  </r>
  <r>
    <s v="B-25936"/>
    <n v="9992"/>
    <n v="3696"/>
    <n v="20"/>
    <x v="0"/>
    <x v="0"/>
    <x v="0"/>
    <s v="4/15/2022"/>
    <s v="Susan Burke"/>
    <x v="1"/>
    <s v="Austin"/>
    <x v="1"/>
  </r>
  <r>
    <s v="B-25936"/>
    <n v="9992"/>
    <n v="3696"/>
    <n v="20"/>
    <x v="0"/>
    <x v="0"/>
    <x v="0"/>
    <s v="8/29/2022"/>
    <s v="Brent Hernandez"/>
    <x v="0"/>
    <s v="Rochester"/>
    <x v="2"/>
  </r>
  <r>
    <s v="B-25861"/>
    <n v="9989"/>
    <n v="3930"/>
    <n v="14"/>
    <x v="1"/>
    <x v="1"/>
    <x v="0"/>
    <s v="3/28/2022"/>
    <s v="Tammy Anthony"/>
    <x v="2"/>
    <s v="Cleveland"/>
    <x v="3"/>
  </r>
  <r>
    <s v="B-25861"/>
    <n v="9989"/>
    <n v="3930"/>
    <n v="14"/>
    <x v="1"/>
    <x v="1"/>
    <x v="0"/>
    <s v="9/22/2022"/>
    <s v="Cassandra Farley"/>
    <x v="3"/>
    <s v="Orlando"/>
    <x v="4"/>
  </r>
  <r>
    <s v="B-25004"/>
    <n v="9965"/>
    <n v="3033"/>
    <n v="16"/>
    <x v="0"/>
    <x v="2"/>
    <x v="1"/>
    <s v="6/17/2020"/>
    <s v="Jennifer Marshall"/>
    <x v="4"/>
    <s v="San Francisco"/>
    <x v="5"/>
  </r>
  <r>
    <s v="B-25004"/>
    <n v="9965"/>
    <n v="3033"/>
    <n v="16"/>
    <x v="0"/>
    <x v="2"/>
    <x v="1"/>
    <d v="2023-01-09T00:00:00"/>
    <s v="Frank Garcia"/>
    <x v="0"/>
    <s v="Buffalo"/>
    <x v="6"/>
  </r>
  <r>
    <s v="B-25945"/>
    <n v="9952"/>
    <n v="3301"/>
    <n v="15"/>
    <x v="2"/>
    <x v="3"/>
    <x v="0"/>
    <d v="2023-10-03T00:00:00"/>
    <s v="Tanya Thomas MD"/>
    <x v="1"/>
    <s v="Dallas"/>
    <x v="7"/>
  </r>
  <r>
    <s v="B-26445"/>
    <n v="9921"/>
    <n v="1451"/>
    <n v="15"/>
    <x v="1"/>
    <x v="4"/>
    <x v="2"/>
    <d v="2021-12-04T00:00:00"/>
    <s v="Christopher Rogers"/>
    <x v="5"/>
    <s v="Chicago"/>
    <x v="8"/>
  </r>
  <r>
    <s v="B-25809"/>
    <n v="9916"/>
    <n v="4602"/>
    <n v="14"/>
    <x v="1"/>
    <x v="5"/>
    <x v="3"/>
    <d v="2022-08-03T00:00:00"/>
    <s v="Kelly Smith"/>
    <x v="2"/>
    <s v="Cleveland"/>
    <x v="3"/>
  </r>
  <r>
    <s v="B-25809"/>
    <n v="9916"/>
    <n v="4602"/>
    <n v="14"/>
    <x v="1"/>
    <x v="5"/>
    <x v="3"/>
    <d v="2022-08-12T00:00:00"/>
    <s v="Sabrina Hartman"/>
    <x v="3"/>
    <s v="Tampa"/>
    <x v="9"/>
  </r>
  <r>
    <s v="B-25441"/>
    <n v="9914"/>
    <n v="3858"/>
    <n v="16"/>
    <x v="1"/>
    <x v="4"/>
    <x v="4"/>
    <s v="6/24/2022"/>
    <s v="Jeffrey Weber"/>
    <x v="0"/>
    <s v="Buffalo"/>
    <x v="10"/>
  </r>
  <r>
    <s v="B-25441"/>
    <n v="9914"/>
    <n v="3858"/>
    <n v="16"/>
    <x v="1"/>
    <x v="4"/>
    <x v="4"/>
    <d v="2024-08-06T00:00:00"/>
    <s v="Andrew Krueger"/>
    <x v="0"/>
    <s v="Rochester"/>
    <x v="11"/>
  </r>
  <r>
    <s v="B-25738"/>
    <n v="9909"/>
    <n v="2999"/>
    <n v="18"/>
    <x v="0"/>
    <x v="2"/>
    <x v="1"/>
    <s v="5/15/2021"/>
    <s v="Albert Alexander Jr."/>
    <x v="2"/>
    <s v="Cleveland"/>
    <x v="12"/>
  </r>
  <r>
    <s v="B-25738"/>
    <n v="9909"/>
    <n v="2999"/>
    <n v="18"/>
    <x v="0"/>
    <x v="2"/>
    <x v="1"/>
    <s v="1/13/2022"/>
    <s v="Teresa Perez"/>
    <x v="1"/>
    <s v="Austin"/>
    <x v="13"/>
  </r>
  <r>
    <s v="B-25241"/>
    <n v="9905"/>
    <n v="633"/>
    <n v="17"/>
    <x v="0"/>
    <x v="0"/>
    <x v="2"/>
    <s v="7/18/2021"/>
    <s v="John Munoz"/>
    <x v="1"/>
    <s v="Dallas"/>
    <x v="14"/>
  </r>
  <r>
    <s v="B-25241"/>
    <n v="9905"/>
    <n v="633"/>
    <n v="17"/>
    <x v="0"/>
    <x v="0"/>
    <x v="2"/>
    <d v="2021-02-10T00:00:00"/>
    <s v="David Clark"/>
    <x v="3"/>
    <s v="Tampa"/>
    <x v="0"/>
  </r>
  <r>
    <s v="B-26507"/>
    <n v="9895"/>
    <n v="1598"/>
    <n v="20"/>
    <x v="1"/>
    <x v="6"/>
    <x v="1"/>
    <s v="12/16/2023"/>
    <s v="Janet Guerrero"/>
    <x v="0"/>
    <s v="Rochester"/>
    <x v="15"/>
  </r>
  <r>
    <s v="B-26508"/>
    <n v="9894"/>
    <n v="3698"/>
    <n v="20"/>
    <x v="0"/>
    <x v="7"/>
    <x v="2"/>
    <s v="2/25/2024"/>
    <s v="Christopher Kirk"/>
    <x v="3"/>
    <s v="Miami"/>
    <x v="16"/>
  </r>
  <r>
    <s v="B-26508"/>
    <n v="9894"/>
    <n v="3698"/>
    <n v="20"/>
    <x v="0"/>
    <x v="7"/>
    <x v="2"/>
    <s v="6/15/2021"/>
    <s v="Eric Stevens"/>
    <x v="3"/>
    <s v="Miami"/>
    <x v="17"/>
  </r>
  <r>
    <s v="B-25267"/>
    <n v="9894"/>
    <n v="829"/>
    <n v="1"/>
    <x v="0"/>
    <x v="8"/>
    <x v="1"/>
    <s v="8/21/2022"/>
    <s v="Michael Bell"/>
    <x v="4"/>
    <s v="San Diego"/>
    <x v="2"/>
  </r>
  <r>
    <s v="B-25427"/>
    <n v="9884"/>
    <n v="4446"/>
    <n v="7"/>
    <x v="2"/>
    <x v="9"/>
    <x v="2"/>
    <d v="2020-04-04T00:00:00"/>
    <s v="Richard Blair"/>
    <x v="3"/>
    <s v="Miami"/>
    <x v="18"/>
  </r>
  <r>
    <s v="B-25901"/>
    <n v="9883"/>
    <n v="4812"/>
    <n v="16"/>
    <x v="0"/>
    <x v="7"/>
    <x v="3"/>
    <s v="10/20/2020"/>
    <s v="Jeffrey Middleton"/>
    <x v="0"/>
    <s v="Buffalo"/>
    <x v="19"/>
  </r>
  <r>
    <s v="B-25901"/>
    <n v="9883"/>
    <n v="4812"/>
    <n v="16"/>
    <x v="0"/>
    <x v="7"/>
    <x v="3"/>
    <d v="2022-11-08T00:00:00"/>
    <s v="Veronica Kelley"/>
    <x v="3"/>
    <s v="Orlando"/>
    <x v="2"/>
  </r>
  <r>
    <s v="B-25901"/>
    <n v="9883"/>
    <n v="4812"/>
    <n v="16"/>
    <x v="0"/>
    <x v="7"/>
    <x v="3"/>
    <s v="10/17/2021"/>
    <s v="Leslie Bean"/>
    <x v="5"/>
    <s v="Springfield"/>
    <x v="0"/>
  </r>
  <r>
    <s v="B-26357"/>
    <n v="9879"/>
    <n v="4930"/>
    <n v="15"/>
    <x v="2"/>
    <x v="10"/>
    <x v="0"/>
    <d v="2023-08-06T00:00:00"/>
    <s v="Brandi Vasquez"/>
    <x v="0"/>
    <s v="Rochester"/>
    <x v="20"/>
  </r>
  <r>
    <s v="B-25501"/>
    <n v="9874"/>
    <n v="3895"/>
    <n v="4"/>
    <x v="0"/>
    <x v="8"/>
    <x v="2"/>
    <s v="2/24/2025"/>
    <s v="Michelle Anderson"/>
    <x v="2"/>
    <s v="Cleveland"/>
    <x v="21"/>
  </r>
  <r>
    <s v="B-26565"/>
    <n v="9873"/>
    <n v="4585"/>
    <n v="7"/>
    <x v="0"/>
    <x v="7"/>
    <x v="4"/>
    <d v="2020-10-08T00:00:00"/>
    <s v="Maria Galvan"/>
    <x v="2"/>
    <s v="Columbus"/>
    <x v="22"/>
  </r>
  <r>
    <s v="B-26443"/>
    <n v="9869"/>
    <n v="4299"/>
    <n v="12"/>
    <x v="2"/>
    <x v="9"/>
    <x v="0"/>
    <s v="3/21/2023"/>
    <s v="Dale Craig"/>
    <x v="4"/>
    <s v="San Diego"/>
    <x v="7"/>
  </r>
  <r>
    <s v="B-26443"/>
    <n v="9869"/>
    <n v="4299"/>
    <n v="12"/>
    <x v="2"/>
    <x v="9"/>
    <x v="0"/>
    <s v="12/28/2023"/>
    <s v="Joseph Hooper"/>
    <x v="0"/>
    <s v="Buffalo"/>
    <x v="15"/>
  </r>
  <r>
    <s v="B-25861"/>
    <n v="9851"/>
    <n v="2669"/>
    <n v="19"/>
    <x v="2"/>
    <x v="3"/>
    <x v="0"/>
    <s v="3/28/2022"/>
    <s v="Tammy Anthony"/>
    <x v="2"/>
    <s v="Cleveland"/>
    <x v="3"/>
  </r>
  <r>
    <s v="B-25861"/>
    <n v="9851"/>
    <n v="2669"/>
    <n v="19"/>
    <x v="2"/>
    <x v="3"/>
    <x v="0"/>
    <s v="7/15/2023"/>
    <s v="Jennifer Chase"/>
    <x v="0"/>
    <s v="Buffalo"/>
    <x v="23"/>
  </r>
  <r>
    <s v="B-25861"/>
    <n v="9851"/>
    <n v="2669"/>
    <n v="19"/>
    <x v="2"/>
    <x v="3"/>
    <x v="0"/>
    <s v="9/22/2022"/>
    <s v="Cassandra Farley"/>
    <x v="3"/>
    <s v="Orlando"/>
    <x v="4"/>
  </r>
  <r>
    <s v="B-25044"/>
    <n v="9849"/>
    <n v="963"/>
    <n v="1"/>
    <x v="0"/>
    <x v="0"/>
    <x v="4"/>
    <s v="4/16/2024"/>
    <s v="April Welch"/>
    <x v="5"/>
    <s v="Springfield"/>
    <x v="24"/>
  </r>
  <r>
    <s v="B-26019"/>
    <n v="9845"/>
    <n v="3062"/>
    <n v="9"/>
    <x v="0"/>
    <x v="7"/>
    <x v="1"/>
    <s v="3/14/2025"/>
    <s v="Elizabeth Hernandez"/>
    <x v="3"/>
    <s v="Orlando"/>
    <x v="25"/>
  </r>
  <r>
    <s v="B-25198"/>
    <n v="9840"/>
    <n v="3870"/>
    <n v="11"/>
    <x v="2"/>
    <x v="9"/>
    <x v="0"/>
    <s v="4/25/2023"/>
    <s v="Cynthia Ferguson"/>
    <x v="1"/>
    <s v="Austin"/>
    <x v="26"/>
  </r>
  <r>
    <s v="B-26790"/>
    <n v="9837"/>
    <n v="384"/>
    <n v="1"/>
    <x v="2"/>
    <x v="10"/>
    <x v="3"/>
    <s v="9/21/2020"/>
    <s v="Jennifer Cooke"/>
    <x v="4"/>
    <s v="San Francisco"/>
    <x v="27"/>
  </r>
  <r>
    <s v="B-26332"/>
    <n v="9835"/>
    <n v="2571"/>
    <n v="16"/>
    <x v="1"/>
    <x v="1"/>
    <x v="1"/>
    <d v="2022-10-06T00:00:00"/>
    <s v="George Foster"/>
    <x v="1"/>
    <s v="Dallas"/>
    <x v="10"/>
  </r>
  <r>
    <s v="B-26332"/>
    <n v="9835"/>
    <n v="2571"/>
    <n v="16"/>
    <x v="1"/>
    <x v="1"/>
    <x v="1"/>
    <s v="11/16/2021"/>
    <s v="Nicholas Anderson"/>
    <x v="3"/>
    <s v="Orlando"/>
    <x v="28"/>
  </r>
  <r>
    <s v="B-26332"/>
    <n v="9835"/>
    <n v="2571"/>
    <n v="16"/>
    <x v="1"/>
    <x v="1"/>
    <x v="1"/>
    <s v="8/17/2022"/>
    <s v="Emily Ellison"/>
    <x v="4"/>
    <s v="Los Angeles"/>
    <x v="2"/>
  </r>
  <r>
    <s v="B-26592"/>
    <n v="9832"/>
    <n v="1270"/>
    <n v="1"/>
    <x v="0"/>
    <x v="0"/>
    <x v="1"/>
    <d v="2022-07-10T00:00:00"/>
    <s v="James Hernandez"/>
    <x v="4"/>
    <s v="San Francisco"/>
    <x v="29"/>
  </r>
  <r>
    <s v="B-26841"/>
    <n v="9827"/>
    <n v="4208"/>
    <n v="13"/>
    <x v="1"/>
    <x v="5"/>
    <x v="0"/>
    <d v="2020-12-09T00:00:00"/>
    <s v="Jill Jones"/>
    <x v="0"/>
    <s v="New York City"/>
    <x v="27"/>
  </r>
  <r>
    <s v="B-25156"/>
    <n v="9820"/>
    <n v="793"/>
    <n v="16"/>
    <x v="1"/>
    <x v="5"/>
    <x v="4"/>
    <s v="8/29/2021"/>
    <s v="Tom Lawson"/>
    <x v="0"/>
    <s v="Buffalo"/>
    <x v="30"/>
  </r>
  <r>
    <s v="B-25226"/>
    <n v="9808"/>
    <n v="2117"/>
    <n v="2"/>
    <x v="0"/>
    <x v="0"/>
    <x v="3"/>
    <s v="4/23/2024"/>
    <s v="Nicole Warren"/>
    <x v="4"/>
    <s v="Los Angeles"/>
    <x v="24"/>
  </r>
  <r>
    <s v="B-26034"/>
    <n v="9789"/>
    <n v="2071"/>
    <n v="18"/>
    <x v="1"/>
    <x v="6"/>
    <x v="0"/>
    <s v="12/28/2023"/>
    <s v="Aaron Johnson"/>
    <x v="0"/>
    <s v="Rochester"/>
    <x v="15"/>
  </r>
  <r>
    <s v="B-26978"/>
    <n v="9776"/>
    <n v="3750"/>
    <n v="9"/>
    <x v="0"/>
    <x v="8"/>
    <x v="3"/>
    <d v="2025-07-03T00:00:00"/>
    <s v="Roger Harris"/>
    <x v="5"/>
    <s v="Springfield"/>
    <x v="25"/>
  </r>
  <r>
    <s v="B-25387"/>
    <n v="9775"/>
    <n v="4507"/>
    <n v="5"/>
    <x v="0"/>
    <x v="2"/>
    <x v="3"/>
    <d v="2020-06-07T00:00:00"/>
    <s v="Amy Thompson"/>
    <x v="2"/>
    <s v="Cincinnati"/>
    <x v="31"/>
  </r>
  <r>
    <s v="B-25591"/>
    <n v="9770"/>
    <n v="4132"/>
    <n v="7"/>
    <x v="2"/>
    <x v="3"/>
    <x v="3"/>
    <s v="12/25/2022"/>
    <s v="Randy Johnson"/>
    <x v="2"/>
    <s v="Columbus"/>
    <x v="9"/>
  </r>
  <r>
    <s v="B-26293"/>
    <n v="9768"/>
    <n v="4518"/>
    <n v="8"/>
    <x v="1"/>
    <x v="1"/>
    <x v="4"/>
    <s v="11/26/2021"/>
    <s v="Michael Hunt"/>
    <x v="1"/>
    <s v="Dallas"/>
    <x v="28"/>
  </r>
  <r>
    <s v="B-26980"/>
    <n v="9752"/>
    <n v="3618"/>
    <n v="5"/>
    <x v="1"/>
    <x v="6"/>
    <x v="0"/>
    <s v="2/21/2024"/>
    <s v="Mary Johnson"/>
    <x v="0"/>
    <s v="Rochester"/>
    <x v="16"/>
  </r>
  <r>
    <s v="B-26980"/>
    <n v="9752"/>
    <n v="3618"/>
    <n v="5"/>
    <x v="1"/>
    <x v="6"/>
    <x v="0"/>
    <s v="10/31/2022"/>
    <s v="Joseph Knight"/>
    <x v="5"/>
    <s v="Peoria"/>
    <x v="29"/>
  </r>
  <r>
    <s v="B-26883"/>
    <n v="9751"/>
    <n v="2459"/>
    <n v="13"/>
    <x v="0"/>
    <x v="0"/>
    <x v="1"/>
    <s v="11/23/2020"/>
    <s v="Christian Jones"/>
    <x v="0"/>
    <s v="Buffalo"/>
    <x v="32"/>
  </r>
  <r>
    <s v="B-26287"/>
    <n v="9730"/>
    <n v="2341"/>
    <n v="2"/>
    <x v="1"/>
    <x v="5"/>
    <x v="2"/>
    <d v="2024-02-07T00:00:00"/>
    <s v="Renee Solomon"/>
    <x v="3"/>
    <s v="Tampa"/>
    <x v="33"/>
  </r>
  <r>
    <s v="B-26776"/>
    <n v="9726"/>
    <n v="1275"/>
    <n v="5"/>
    <x v="2"/>
    <x v="3"/>
    <x v="3"/>
    <s v="6/27/2023"/>
    <s v="David Padilla"/>
    <x v="3"/>
    <s v="Miami"/>
    <x v="20"/>
  </r>
  <r>
    <s v="B-26776"/>
    <n v="9726"/>
    <n v="1275"/>
    <n v="5"/>
    <x v="2"/>
    <x v="3"/>
    <x v="3"/>
    <s v="12/27/2024"/>
    <s v="Connor Morgan"/>
    <x v="5"/>
    <s v="Chicago"/>
    <x v="34"/>
  </r>
  <r>
    <s v="B-26776"/>
    <n v="9726"/>
    <n v="1275"/>
    <n v="5"/>
    <x v="2"/>
    <x v="3"/>
    <x v="3"/>
    <s v="7/25/2021"/>
    <s v="Robert Stone"/>
    <x v="0"/>
    <s v="Buffalo"/>
    <x v="14"/>
  </r>
  <r>
    <s v="B-25511"/>
    <n v="9707"/>
    <n v="3483"/>
    <n v="10"/>
    <x v="2"/>
    <x v="3"/>
    <x v="2"/>
    <s v="1/29/2025"/>
    <s v="Samuel Hayes"/>
    <x v="5"/>
    <s v="Peoria"/>
    <x v="35"/>
  </r>
  <r>
    <s v="B-25885"/>
    <n v="9704"/>
    <n v="4339"/>
    <n v="12"/>
    <x v="0"/>
    <x v="0"/>
    <x v="1"/>
    <d v="2021-06-03T00:00:00"/>
    <s v="Dawn Howard"/>
    <x v="1"/>
    <s v="Houston"/>
    <x v="36"/>
  </r>
  <r>
    <s v="B-26724"/>
    <n v="9694"/>
    <n v="4361"/>
    <n v="1"/>
    <x v="1"/>
    <x v="5"/>
    <x v="2"/>
    <d v="2023-04-11T00:00:00"/>
    <s v="Roberto Parrish"/>
    <x v="5"/>
    <s v="Springfield"/>
    <x v="37"/>
  </r>
  <r>
    <s v="B-26332"/>
    <n v="9691"/>
    <n v="3056"/>
    <n v="13"/>
    <x v="0"/>
    <x v="2"/>
    <x v="4"/>
    <d v="2022-10-06T00:00:00"/>
    <s v="George Foster"/>
    <x v="1"/>
    <s v="Dallas"/>
    <x v="10"/>
  </r>
  <r>
    <s v="B-26332"/>
    <n v="9691"/>
    <n v="3056"/>
    <n v="13"/>
    <x v="0"/>
    <x v="2"/>
    <x v="4"/>
    <s v="11/16/2021"/>
    <s v="Nicholas Anderson"/>
    <x v="3"/>
    <s v="Orlando"/>
    <x v="28"/>
  </r>
  <r>
    <s v="B-26332"/>
    <n v="9691"/>
    <n v="3056"/>
    <n v="13"/>
    <x v="0"/>
    <x v="2"/>
    <x v="4"/>
    <s v="8/17/2022"/>
    <s v="Emily Ellison"/>
    <x v="4"/>
    <s v="Los Angeles"/>
    <x v="2"/>
  </r>
  <r>
    <s v="B-26470"/>
    <n v="9683"/>
    <n v="1014"/>
    <n v="5"/>
    <x v="2"/>
    <x v="9"/>
    <x v="3"/>
    <s v="12/27/2024"/>
    <s v="Morgan Montes"/>
    <x v="4"/>
    <s v="San Diego"/>
    <x v="34"/>
  </r>
  <r>
    <s v="B-26470"/>
    <n v="9683"/>
    <n v="1014"/>
    <n v="5"/>
    <x v="2"/>
    <x v="9"/>
    <x v="3"/>
    <s v="6/18/2021"/>
    <s v="Christine Mosley"/>
    <x v="2"/>
    <s v="Cincinnati"/>
    <x v="17"/>
  </r>
  <r>
    <s v="B-26470"/>
    <n v="9683"/>
    <n v="1014"/>
    <n v="5"/>
    <x v="2"/>
    <x v="9"/>
    <x v="3"/>
    <s v="5/27/2023"/>
    <s v="Ashley Rodriguez"/>
    <x v="1"/>
    <s v="Austin"/>
    <x v="38"/>
  </r>
  <r>
    <s v="B-26470"/>
    <n v="9683"/>
    <n v="1014"/>
    <n v="5"/>
    <x v="2"/>
    <x v="9"/>
    <x v="3"/>
    <d v="2021-12-10T00:00:00"/>
    <s v="Elizabeth King"/>
    <x v="1"/>
    <s v="Dallas"/>
    <x v="0"/>
  </r>
  <r>
    <s v="B-26910"/>
    <n v="9680"/>
    <n v="3295"/>
    <n v="9"/>
    <x v="1"/>
    <x v="1"/>
    <x v="1"/>
    <s v="4/29/2024"/>
    <s v="Mr. Ralph Garcia Jr."/>
    <x v="0"/>
    <s v="Rochester"/>
    <x v="24"/>
  </r>
  <r>
    <s v="B-26251"/>
    <n v="9659"/>
    <n v="2226"/>
    <n v="16"/>
    <x v="0"/>
    <x v="8"/>
    <x v="0"/>
    <d v="2023-04-06T00:00:00"/>
    <s v="Brenda Murphy"/>
    <x v="4"/>
    <s v="San Francisco"/>
    <x v="20"/>
  </r>
  <r>
    <s v="B-25131"/>
    <n v="9654"/>
    <n v="4111"/>
    <n v="1"/>
    <x v="0"/>
    <x v="7"/>
    <x v="3"/>
    <s v="6/27/2022"/>
    <s v="Timothy Murphy"/>
    <x v="4"/>
    <s v="San Francisco"/>
    <x v="10"/>
  </r>
  <r>
    <s v="B-25200"/>
    <n v="9653"/>
    <n v="2471"/>
    <n v="6"/>
    <x v="0"/>
    <x v="7"/>
    <x v="3"/>
    <d v="2024-08-07T00:00:00"/>
    <s v="Marissa Hartman"/>
    <x v="0"/>
    <s v="Buffalo"/>
    <x v="33"/>
  </r>
  <r>
    <s v="B-25829"/>
    <n v="9640"/>
    <n v="2606"/>
    <n v="2"/>
    <x v="1"/>
    <x v="6"/>
    <x v="4"/>
    <s v="10/31/2021"/>
    <s v="Anthony Barnett"/>
    <x v="5"/>
    <s v="Peoria"/>
    <x v="0"/>
  </r>
  <r>
    <s v="B-25936"/>
    <n v="9619"/>
    <n v="3420"/>
    <n v="7"/>
    <x v="0"/>
    <x v="8"/>
    <x v="3"/>
    <d v="2021-09-10T00:00:00"/>
    <s v="Patrick Williams"/>
    <x v="0"/>
    <s v="Rochester"/>
    <x v="0"/>
  </r>
  <r>
    <s v="B-25936"/>
    <n v="9619"/>
    <n v="3420"/>
    <n v="7"/>
    <x v="0"/>
    <x v="8"/>
    <x v="3"/>
    <s v="4/15/2022"/>
    <s v="Susan Burke"/>
    <x v="1"/>
    <s v="Austin"/>
    <x v="1"/>
  </r>
  <r>
    <s v="B-25936"/>
    <n v="9619"/>
    <n v="3420"/>
    <n v="7"/>
    <x v="0"/>
    <x v="8"/>
    <x v="3"/>
    <s v="8/29/2022"/>
    <s v="Brent Hernandez"/>
    <x v="0"/>
    <s v="Rochester"/>
    <x v="2"/>
  </r>
  <r>
    <s v="B-26843"/>
    <n v="9612"/>
    <n v="2572"/>
    <n v="17"/>
    <x v="0"/>
    <x v="0"/>
    <x v="4"/>
    <s v="7/31/2021"/>
    <s v="Megan Williams"/>
    <x v="1"/>
    <s v="Dallas"/>
    <x v="14"/>
  </r>
  <r>
    <s v="B-26628"/>
    <n v="9609"/>
    <n v="4339"/>
    <n v="3"/>
    <x v="1"/>
    <x v="4"/>
    <x v="0"/>
    <s v="9/19/2024"/>
    <s v="George Ashley"/>
    <x v="1"/>
    <s v="Houston"/>
    <x v="39"/>
  </r>
  <r>
    <s v="B-26628"/>
    <n v="9609"/>
    <n v="4339"/>
    <n v="3"/>
    <x v="1"/>
    <x v="4"/>
    <x v="0"/>
    <d v="2020-05-04T00:00:00"/>
    <s v="Sara Bailey"/>
    <x v="2"/>
    <s v="Cincinnati"/>
    <x v="18"/>
  </r>
  <r>
    <s v="B-26601"/>
    <n v="9574"/>
    <n v="4045"/>
    <n v="19"/>
    <x v="1"/>
    <x v="6"/>
    <x v="3"/>
    <s v="3/13/2024"/>
    <s v="Melinda Montoya"/>
    <x v="4"/>
    <s v="San Francisco"/>
    <x v="40"/>
  </r>
  <r>
    <s v="B-25742"/>
    <n v="9565"/>
    <n v="1691"/>
    <n v="3"/>
    <x v="0"/>
    <x v="7"/>
    <x v="0"/>
    <d v="2024-02-07T00:00:00"/>
    <s v="Taylor White"/>
    <x v="5"/>
    <s v="Springfield"/>
    <x v="33"/>
  </r>
  <r>
    <s v="B-25979"/>
    <n v="9562"/>
    <n v="325"/>
    <n v="2"/>
    <x v="2"/>
    <x v="9"/>
    <x v="0"/>
    <s v="5/13/2022"/>
    <s v="Andrew Kirby"/>
    <x v="4"/>
    <s v="San Diego"/>
    <x v="41"/>
  </r>
  <r>
    <s v="B-26571"/>
    <n v="9548"/>
    <n v="1806"/>
    <n v="9"/>
    <x v="2"/>
    <x v="9"/>
    <x v="1"/>
    <s v="10/20/2022"/>
    <s v="Kimberly Smith"/>
    <x v="5"/>
    <s v="Springfield"/>
    <x v="29"/>
  </r>
  <r>
    <s v="B-25884"/>
    <n v="9538"/>
    <n v="3158"/>
    <n v="20"/>
    <x v="2"/>
    <x v="9"/>
    <x v="4"/>
    <d v="2024-04-09T00:00:00"/>
    <s v="Sean Elliott"/>
    <x v="4"/>
    <s v="San Francisco"/>
    <x v="39"/>
  </r>
  <r>
    <s v="B-25884"/>
    <n v="9538"/>
    <n v="3158"/>
    <n v="20"/>
    <x v="2"/>
    <x v="9"/>
    <x v="4"/>
    <s v="5/18/2021"/>
    <s v="Wanda West"/>
    <x v="2"/>
    <s v="Cleveland"/>
    <x v="12"/>
  </r>
  <r>
    <s v="B-26622"/>
    <n v="9536"/>
    <n v="1437"/>
    <n v="9"/>
    <x v="2"/>
    <x v="11"/>
    <x v="3"/>
    <d v="2020-02-04T00:00:00"/>
    <s v="Timothy Jensen"/>
    <x v="3"/>
    <s v="Orlando"/>
    <x v="18"/>
  </r>
  <r>
    <s v="B-26041"/>
    <n v="9498"/>
    <n v="256"/>
    <n v="12"/>
    <x v="2"/>
    <x v="11"/>
    <x v="1"/>
    <s v="2/22/2021"/>
    <s v="Matthew James"/>
    <x v="5"/>
    <s v="Peoria"/>
    <x v="42"/>
  </r>
  <r>
    <s v="B-26041"/>
    <n v="9498"/>
    <n v="256"/>
    <n v="12"/>
    <x v="2"/>
    <x v="11"/>
    <x v="1"/>
    <d v="2021-06-10T00:00:00"/>
    <s v="Jerry Alvarado"/>
    <x v="0"/>
    <s v="New York City"/>
    <x v="0"/>
  </r>
  <r>
    <s v="B-25703"/>
    <n v="9438"/>
    <n v="1801"/>
    <n v="4"/>
    <x v="2"/>
    <x v="3"/>
    <x v="1"/>
    <s v="4/19/2023"/>
    <s v="Steven Acosta"/>
    <x v="3"/>
    <s v="Orlando"/>
    <x v="26"/>
  </r>
  <r>
    <s v="B-25703"/>
    <n v="9438"/>
    <n v="1801"/>
    <n v="4"/>
    <x v="2"/>
    <x v="3"/>
    <x v="1"/>
    <s v="10/29/2023"/>
    <s v="Lindsay Jackson"/>
    <x v="1"/>
    <s v="Austin"/>
    <x v="43"/>
  </r>
  <r>
    <s v="B-26095"/>
    <n v="9406"/>
    <n v="1137"/>
    <n v="16"/>
    <x v="0"/>
    <x v="2"/>
    <x v="3"/>
    <s v="10/20/2021"/>
    <s v="Leroy Harris"/>
    <x v="1"/>
    <s v="Houston"/>
    <x v="0"/>
  </r>
  <r>
    <s v="B-26803"/>
    <n v="9399"/>
    <n v="1949"/>
    <n v="12"/>
    <x v="2"/>
    <x v="9"/>
    <x v="3"/>
    <s v="5/16/2022"/>
    <s v="Elizabeth White"/>
    <x v="0"/>
    <s v="Rochester"/>
    <x v="41"/>
  </r>
  <r>
    <s v="B-26219"/>
    <n v="9386"/>
    <n v="2555"/>
    <n v="20"/>
    <x v="0"/>
    <x v="2"/>
    <x v="4"/>
    <s v="8/19/2020"/>
    <s v="Mark Padilla"/>
    <x v="4"/>
    <s v="San Diego"/>
    <x v="22"/>
  </r>
  <r>
    <s v="B-26219"/>
    <n v="9386"/>
    <n v="2555"/>
    <n v="20"/>
    <x v="0"/>
    <x v="2"/>
    <x v="4"/>
    <s v="10/20/2022"/>
    <s v="Anthony Lane"/>
    <x v="2"/>
    <s v="Cleveland"/>
    <x v="29"/>
  </r>
  <r>
    <s v="B-26352"/>
    <n v="9382"/>
    <n v="1085"/>
    <n v="3"/>
    <x v="2"/>
    <x v="9"/>
    <x v="0"/>
    <s v="7/18/2023"/>
    <s v="Marcus Brown"/>
    <x v="5"/>
    <s v="Chicago"/>
    <x v="23"/>
  </r>
  <r>
    <s v="B-26352"/>
    <n v="9382"/>
    <n v="1085"/>
    <n v="3"/>
    <x v="2"/>
    <x v="9"/>
    <x v="0"/>
    <s v="5/16/2022"/>
    <s v="Annette Pierce"/>
    <x v="0"/>
    <s v="Rochester"/>
    <x v="41"/>
  </r>
  <r>
    <s v="B-25553"/>
    <n v="9380"/>
    <n v="414"/>
    <n v="11"/>
    <x v="2"/>
    <x v="11"/>
    <x v="3"/>
    <s v="5/30/2024"/>
    <s v="Karen Johnson"/>
    <x v="0"/>
    <s v="Rochester"/>
    <x v="44"/>
  </r>
  <r>
    <s v="B-26740"/>
    <n v="9369"/>
    <n v="3297"/>
    <n v="6"/>
    <x v="2"/>
    <x v="9"/>
    <x v="0"/>
    <s v="9/27/2023"/>
    <s v="Stephanie Manning"/>
    <x v="3"/>
    <s v="Orlando"/>
    <x v="6"/>
  </r>
  <r>
    <s v="B-26740"/>
    <n v="9369"/>
    <n v="3297"/>
    <n v="6"/>
    <x v="2"/>
    <x v="9"/>
    <x v="0"/>
    <s v="1/30/2025"/>
    <s v="Logan Galloway"/>
    <x v="0"/>
    <s v="New York City"/>
    <x v="35"/>
  </r>
  <r>
    <s v="B-26157"/>
    <n v="9337"/>
    <n v="554"/>
    <n v="11"/>
    <x v="0"/>
    <x v="0"/>
    <x v="1"/>
    <s v="12/14/2023"/>
    <s v="Sierra Rios"/>
    <x v="3"/>
    <s v="Orlando"/>
    <x v="15"/>
  </r>
  <r>
    <s v="B-25705"/>
    <n v="9335"/>
    <n v="557"/>
    <n v="11"/>
    <x v="2"/>
    <x v="3"/>
    <x v="1"/>
    <s v="4/27/2021"/>
    <s v="Ann Mooney"/>
    <x v="4"/>
    <s v="Los Angeles"/>
    <x v="8"/>
  </r>
  <r>
    <s v="B-25894"/>
    <n v="9316"/>
    <n v="3003"/>
    <n v="13"/>
    <x v="1"/>
    <x v="4"/>
    <x v="4"/>
    <s v="3/21/2023"/>
    <s v="Tammy Bell"/>
    <x v="2"/>
    <s v="Cincinnati"/>
    <x v="7"/>
  </r>
  <r>
    <s v="B-26654"/>
    <n v="9300"/>
    <n v="3146"/>
    <n v="6"/>
    <x v="2"/>
    <x v="11"/>
    <x v="4"/>
    <s v="2/18/2021"/>
    <s v="Mrs. Jennifer Lewis"/>
    <x v="4"/>
    <s v="San Francisco"/>
    <x v="42"/>
  </r>
  <r>
    <s v="B-25492"/>
    <n v="9279"/>
    <n v="552"/>
    <n v="14"/>
    <x v="1"/>
    <x v="5"/>
    <x v="2"/>
    <s v="12/14/2021"/>
    <s v="Tina Blake"/>
    <x v="0"/>
    <s v="Buffalo"/>
    <x v="45"/>
  </r>
  <r>
    <s v="B-25492"/>
    <n v="9279"/>
    <n v="552"/>
    <n v="14"/>
    <x v="1"/>
    <x v="5"/>
    <x v="2"/>
    <s v="11/30/2020"/>
    <s v="Clarence Cooke"/>
    <x v="4"/>
    <s v="San Francisco"/>
    <x v="32"/>
  </r>
  <r>
    <s v="B-25603"/>
    <n v="9272"/>
    <n v="1771"/>
    <n v="19"/>
    <x v="0"/>
    <x v="2"/>
    <x v="3"/>
    <s v="11/14/2024"/>
    <s v="Jamie Brewer"/>
    <x v="5"/>
    <s v="Springfield"/>
    <x v="46"/>
  </r>
  <r>
    <s v="B-25603"/>
    <n v="9272"/>
    <n v="1771"/>
    <n v="19"/>
    <x v="0"/>
    <x v="2"/>
    <x v="3"/>
    <s v="4/18/2020"/>
    <s v="Lauren Boyer"/>
    <x v="1"/>
    <s v="Dallas"/>
    <x v="18"/>
  </r>
  <r>
    <s v="B-26464"/>
    <n v="9236"/>
    <n v="2899"/>
    <n v="5"/>
    <x v="2"/>
    <x v="10"/>
    <x v="0"/>
    <d v="2022-03-02T00:00:00"/>
    <s v="Zachary Perez"/>
    <x v="1"/>
    <s v="Austin"/>
    <x v="47"/>
  </r>
  <r>
    <s v="B-26464"/>
    <n v="9236"/>
    <n v="2899"/>
    <n v="5"/>
    <x v="2"/>
    <x v="10"/>
    <x v="0"/>
    <d v="2021-12-12T00:00:00"/>
    <s v="Brian Green"/>
    <x v="4"/>
    <s v="San Diego"/>
    <x v="45"/>
  </r>
  <r>
    <s v="B-26034"/>
    <n v="9229"/>
    <n v="4090"/>
    <n v="8"/>
    <x v="2"/>
    <x v="3"/>
    <x v="1"/>
    <s v="12/28/2023"/>
    <s v="Aaron Johnson"/>
    <x v="0"/>
    <s v="Rochester"/>
    <x v="15"/>
  </r>
  <r>
    <s v="B-25398"/>
    <n v="9215"/>
    <n v="767"/>
    <n v="13"/>
    <x v="2"/>
    <x v="9"/>
    <x v="1"/>
    <d v="2022-10-01T00:00:00"/>
    <s v="Sandra Perkins"/>
    <x v="3"/>
    <s v="Tampa"/>
    <x v="13"/>
  </r>
  <r>
    <s v="B-25398"/>
    <n v="9215"/>
    <n v="767"/>
    <n v="13"/>
    <x v="2"/>
    <x v="9"/>
    <x v="1"/>
    <d v="2021-01-11T00:00:00"/>
    <s v="Heather Bell"/>
    <x v="4"/>
    <s v="San Francisco"/>
    <x v="28"/>
  </r>
  <r>
    <s v="B-26508"/>
    <n v="9204"/>
    <n v="3289"/>
    <n v="16"/>
    <x v="2"/>
    <x v="10"/>
    <x v="4"/>
    <s v="2/25/2024"/>
    <s v="Christopher Kirk"/>
    <x v="3"/>
    <s v="Miami"/>
    <x v="16"/>
  </r>
  <r>
    <s v="B-26508"/>
    <n v="9204"/>
    <n v="3289"/>
    <n v="16"/>
    <x v="2"/>
    <x v="10"/>
    <x v="4"/>
    <s v="6/15/2021"/>
    <s v="Eric Stevens"/>
    <x v="3"/>
    <s v="Miami"/>
    <x v="17"/>
  </r>
  <r>
    <s v="B-26557"/>
    <n v="9200"/>
    <n v="809"/>
    <n v="13"/>
    <x v="2"/>
    <x v="10"/>
    <x v="1"/>
    <s v="5/30/2022"/>
    <s v="Katherine Williams"/>
    <x v="3"/>
    <s v="Orlando"/>
    <x v="41"/>
  </r>
  <r>
    <s v="B-26136"/>
    <n v="9144"/>
    <n v="2220"/>
    <n v="18"/>
    <x v="0"/>
    <x v="8"/>
    <x v="4"/>
    <s v="6/13/2021"/>
    <s v="Ronald Good"/>
    <x v="3"/>
    <s v="Miami"/>
    <x v="17"/>
  </r>
  <r>
    <s v="B-25970"/>
    <n v="9132"/>
    <n v="3096"/>
    <n v="14"/>
    <x v="1"/>
    <x v="5"/>
    <x v="0"/>
    <s v="12/14/2023"/>
    <s v="Kevin Cooper"/>
    <x v="3"/>
    <s v="Tampa"/>
    <x v="15"/>
  </r>
  <r>
    <s v="B-26454"/>
    <n v="9109"/>
    <n v="586"/>
    <n v="17"/>
    <x v="1"/>
    <x v="4"/>
    <x v="2"/>
    <s v="5/17/2020"/>
    <s v="Becky Leach"/>
    <x v="3"/>
    <s v="Miami"/>
    <x v="48"/>
  </r>
  <r>
    <s v="B-25106"/>
    <n v="9090"/>
    <n v="3098"/>
    <n v="16"/>
    <x v="2"/>
    <x v="11"/>
    <x v="4"/>
    <d v="2021-01-04T00:00:00"/>
    <s v="Luke Saunders"/>
    <x v="1"/>
    <s v="Dallas"/>
    <x v="8"/>
  </r>
  <r>
    <s v="B-25106"/>
    <n v="9090"/>
    <n v="3098"/>
    <n v="16"/>
    <x v="2"/>
    <x v="11"/>
    <x v="4"/>
    <s v="5/28/2024"/>
    <s v="Dr. Jennifer Benton DVM"/>
    <x v="5"/>
    <s v="Springfield"/>
    <x v="44"/>
  </r>
  <r>
    <s v="B-26485"/>
    <n v="9084"/>
    <n v="3253"/>
    <n v="12"/>
    <x v="0"/>
    <x v="0"/>
    <x v="0"/>
    <d v="2023-05-11T00:00:00"/>
    <s v="Marisa Prince"/>
    <x v="0"/>
    <s v="Buffalo"/>
    <x v="37"/>
  </r>
  <r>
    <s v="B-26939"/>
    <n v="9078"/>
    <n v="2213"/>
    <n v="15"/>
    <x v="1"/>
    <x v="6"/>
    <x v="2"/>
    <d v="2021-12-08T00:00:00"/>
    <s v="Theresa Medina"/>
    <x v="5"/>
    <s v="Springfield"/>
    <x v="30"/>
  </r>
  <r>
    <s v="B-26213"/>
    <n v="9073"/>
    <n v="424"/>
    <n v="7"/>
    <x v="2"/>
    <x v="3"/>
    <x v="0"/>
    <d v="2023-08-06T00:00:00"/>
    <s v="Terri Madden"/>
    <x v="0"/>
    <s v="Rochester"/>
    <x v="20"/>
  </r>
  <r>
    <s v="B-26557"/>
    <n v="9057"/>
    <n v="1888"/>
    <n v="19"/>
    <x v="2"/>
    <x v="9"/>
    <x v="1"/>
    <s v="5/30/2022"/>
    <s v="Katherine Williams"/>
    <x v="3"/>
    <s v="Orlando"/>
    <x v="41"/>
  </r>
  <r>
    <s v="B-25884"/>
    <n v="9035"/>
    <n v="1227"/>
    <n v="14"/>
    <x v="1"/>
    <x v="5"/>
    <x v="2"/>
    <d v="2024-04-09T00:00:00"/>
    <s v="Sean Elliott"/>
    <x v="4"/>
    <s v="San Francisco"/>
    <x v="39"/>
  </r>
  <r>
    <s v="B-25884"/>
    <n v="9035"/>
    <n v="1227"/>
    <n v="14"/>
    <x v="1"/>
    <x v="5"/>
    <x v="2"/>
    <s v="5/18/2021"/>
    <s v="Wanda West"/>
    <x v="2"/>
    <s v="Cleveland"/>
    <x v="12"/>
  </r>
  <r>
    <s v="B-26885"/>
    <n v="9024"/>
    <n v="730"/>
    <n v="4"/>
    <x v="1"/>
    <x v="1"/>
    <x v="4"/>
    <s v="2/20/2024"/>
    <s v="Peter Castro"/>
    <x v="1"/>
    <s v="Dallas"/>
    <x v="16"/>
  </r>
  <r>
    <s v="B-25024"/>
    <n v="9002"/>
    <n v="4197"/>
    <n v="2"/>
    <x v="0"/>
    <x v="2"/>
    <x v="2"/>
    <s v="1/15/2025"/>
    <s v="Christopher Stone"/>
    <x v="2"/>
    <s v="Cincinnati"/>
    <x v="35"/>
  </r>
  <r>
    <s v="B-25024"/>
    <n v="9002"/>
    <n v="4197"/>
    <n v="2"/>
    <x v="0"/>
    <x v="2"/>
    <x v="2"/>
    <s v="3/28/2021"/>
    <s v="Megan Pitts"/>
    <x v="2"/>
    <s v="Columbus"/>
    <x v="36"/>
  </r>
  <r>
    <s v="B-26191"/>
    <n v="8994"/>
    <n v="1481"/>
    <n v="15"/>
    <x v="2"/>
    <x v="11"/>
    <x v="4"/>
    <s v="6/21/2020"/>
    <s v="James Bonilla"/>
    <x v="4"/>
    <s v="San Diego"/>
    <x v="5"/>
  </r>
  <r>
    <s v="B-26587"/>
    <n v="8982"/>
    <n v="448"/>
    <n v="17"/>
    <x v="1"/>
    <x v="4"/>
    <x v="3"/>
    <d v="2021-07-05T00:00:00"/>
    <s v="Angela Lyons"/>
    <x v="0"/>
    <s v="New York City"/>
    <x v="12"/>
  </r>
  <r>
    <s v="B-25646"/>
    <n v="8979"/>
    <n v="4477"/>
    <n v="4"/>
    <x v="0"/>
    <x v="7"/>
    <x v="4"/>
    <s v="8/24/2020"/>
    <s v="Sharon Wilkins"/>
    <x v="5"/>
    <s v="Chicago"/>
    <x v="22"/>
  </r>
  <r>
    <s v="B-25193"/>
    <n v="8974"/>
    <n v="4441"/>
    <n v="16"/>
    <x v="2"/>
    <x v="9"/>
    <x v="2"/>
    <d v="2023-05-06T00:00:00"/>
    <s v="Angela Todd"/>
    <x v="0"/>
    <s v="New York City"/>
    <x v="20"/>
  </r>
  <r>
    <s v="B-25104"/>
    <n v="8971"/>
    <n v="2971"/>
    <n v="19"/>
    <x v="0"/>
    <x v="8"/>
    <x v="0"/>
    <s v="11/28/2020"/>
    <s v="Paul Raymond"/>
    <x v="4"/>
    <s v="San Diego"/>
    <x v="32"/>
  </r>
  <r>
    <s v="B-25665"/>
    <n v="8962"/>
    <n v="2444"/>
    <n v="18"/>
    <x v="2"/>
    <x v="3"/>
    <x v="0"/>
    <d v="2021-12-07T00:00:00"/>
    <s v="Carlos Wheeler"/>
    <x v="2"/>
    <s v="Cleveland"/>
    <x v="14"/>
  </r>
  <r>
    <s v="B-25665"/>
    <n v="8962"/>
    <n v="2444"/>
    <n v="18"/>
    <x v="2"/>
    <x v="3"/>
    <x v="0"/>
    <s v="3/22/2020"/>
    <s v="Isabella Roach"/>
    <x v="5"/>
    <s v="Peoria"/>
    <x v="49"/>
  </r>
  <r>
    <s v="B-26839"/>
    <n v="8956"/>
    <n v="3359"/>
    <n v="13"/>
    <x v="1"/>
    <x v="6"/>
    <x v="4"/>
    <d v="2022-01-05T00:00:00"/>
    <s v="Sarah Wagner"/>
    <x v="1"/>
    <s v="Houston"/>
    <x v="41"/>
  </r>
  <r>
    <s v="B-25025"/>
    <n v="8947"/>
    <n v="2807"/>
    <n v="6"/>
    <x v="2"/>
    <x v="3"/>
    <x v="4"/>
    <s v="3/25/2021"/>
    <s v="James Gutierrez"/>
    <x v="0"/>
    <s v="Rochester"/>
    <x v="36"/>
  </r>
  <r>
    <s v="B-26009"/>
    <n v="8945"/>
    <n v="1728"/>
    <n v="10"/>
    <x v="1"/>
    <x v="1"/>
    <x v="3"/>
    <d v="2021-10-02T00:00:00"/>
    <s v="Sara Garcia"/>
    <x v="5"/>
    <s v="Peoria"/>
    <x v="42"/>
  </r>
  <r>
    <s v="B-26489"/>
    <n v="8943"/>
    <n v="3121"/>
    <n v="17"/>
    <x v="1"/>
    <x v="5"/>
    <x v="0"/>
    <d v="2022-08-10T00:00:00"/>
    <s v="Brett Sutton"/>
    <x v="1"/>
    <s v="Austin"/>
    <x v="29"/>
  </r>
  <r>
    <s v="B-26489"/>
    <n v="8943"/>
    <n v="3121"/>
    <n v="17"/>
    <x v="1"/>
    <x v="5"/>
    <x v="0"/>
    <s v="10/27/2023"/>
    <s v="Anna Blackburn"/>
    <x v="2"/>
    <s v="Cincinnati"/>
    <x v="43"/>
  </r>
  <r>
    <s v="B-26489"/>
    <n v="8943"/>
    <n v="3121"/>
    <n v="17"/>
    <x v="1"/>
    <x v="5"/>
    <x v="0"/>
    <d v="2021-09-02T00:00:00"/>
    <s v="Michelle Bailey"/>
    <x v="1"/>
    <s v="Dallas"/>
    <x v="42"/>
  </r>
  <r>
    <s v="B-26612"/>
    <n v="8930"/>
    <n v="3374"/>
    <n v="12"/>
    <x v="1"/>
    <x v="4"/>
    <x v="0"/>
    <d v="2020-04-05T00:00:00"/>
    <s v="Aaron Kim"/>
    <x v="0"/>
    <s v="Buffalo"/>
    <x v="48"/>
  </r>
  <r>
    <s v="B-26899"/>
    <n v="8903"/>
    <n v="4401"/>
    <n v="18"/>
    <x v="0"/>
    <x v="0"/>
    <x v="4"/>
    <d v="2022-08-08T00:00:00"/>
    <s v="Christopher Jordan"/>
    <x v="2"/>
    <s v="Columbus"/>
    <x v="2"/>
  </r>
  <r>
    <s v="B-25774"/>
    <n v="8861"/>
    <n v="3381"/>
    <n v="19"/>
    <x v="0"/>
    <x v="2"/>
    <x v="4"/>
    <s v="5/27/2021"/>
    <s v="Brandon Le"/>
    <x v="4"/>
    <s v="San Diego"/>
    <x v="12"/>
  </r>
  <r>
    <s v="B-25888"/>
    <n v="8858"/>
    <n v="3394"/>
    <n v="6"/>
    <x v="1"/>
    <x v="5"/>
    <x v="1"/>
    <s v="10/31/2024"/>
    <s v="Victor Collins"/>
    <x v="4"/>
    <s v="San Diego"/>
    <x v="50"/>
  </r>
  <r>
    <s v="B-26969"/>
    <n v="8856"/>
    <n v="2020"/>
    <n v="9"/>
    <x v="0"/>
    <x v="0"/>
    <x v="0"/>
    <d v="2024-02-03T00:00:00"/>
    <s v="Connie Richards"/>
    <x v="2"/>
    <s v="Cleveland"/>
    <x v="40"/>
  </r>
  <r>
    <s v="B-26969"/>
    <n v="8856"/>
    <n v="2020"/>
    <n v="9"/>
    <x v="0"/>
    <x v="0"/>
    <x v="0"/>
    <s v="4/30/2021"/>
    <s v="Peter Ward"/>
    <x v="0"/>
    <s v="Rochester"/>
    <x v="8"/>
  </r>
  <r>
    <s v="B-26501"/>
    <n v="8851"/>
    <n v="3962"/>
    <n v="7"/>
    <x v="1"/>
    <x v="1"/>
    <x v="2"/>
    <s v="9/26/2020"/>
    <s v="Ricky Smith"/>
    <x v="3"/>
    <s v="Miami"/>
    <x v="27"/>
  </r>
  <r>
    <s v="B-25548"/>
    <n v="8851"/>
    <n v="999"/>
    <n v="12"/>
    <x v="2"/>
    <x v="10"/>
    <x v="3"/>
    <d v="2024-07-02T00:00:00"/>
    <s v="Joseph Wilson"/>
    <x v="2"/>
    <s v="Cincinnati"/>
    <x v="16"/>
  </r>
  <r>
    <s v="B-26212"/>
    <n v="8850"/>
    <n v="279"/>
    <n v="13"/>
    <x v="0"/>
    <x v="2"/>
    <x v="0"/>
    <s v="6/25/2024"/>
    <s v="Janet Carlson"/>
    <x v="3"/>
    <s v="Miami"/>
    <x v="11"/>
  </r>
  <r>
    <s v="B-26168"/>
    <n v="8848"/>
    <n v="2090"/>
    <n v="9"/>
    <x v="0"/>
    <x v="0"/>
    <x v="0"/>
    <s v="1/14/2025"/>
    <s v="Jerry Smith"/>
    <x v="4"/>
    <s v="San Diego"/>
    <x v="35"/>
  </r>
  <r>
    <s v="B-26370"/>
    <n v="8825"/>
    <n v="3594"/>
    <n v="15"/>
    <x v="1"/>
    <x v="1"/>
    <x v="0"/>
    <s v="7/31/2024"/>
    <s v="Megan Mclean"/>
    <x v="0"/>
    <s v="New York City"/>
    <x v="33"/>
  </r>
  <r>
    <s v="B-26464"/>
    <n v="8797"/>
    <n v="1010"/>
    <n v="8"/>
    <x v="1"/>
    <x v="1"/>
    <x v="3"/>
    <d v="2022-03-02T00:00:00"/>
    <s v="Zachary Perez"/>
    <x v="1"/>
    <s v="Austin"/>
    <x v="47"/>
  </r>
  <r>
    <s v="B-26464"/>
    <n v="8797"/>
    <n v="1010"/>
    <n v="8"/>
    <x v="1"/>
    <x v="1"/>
    <x v="3"/>
    <d v="2021-12-12T00:00:00"/>
    <s v="Brian Green"/>
    <x v="4"/>
    <s v="San Diego"/>
    <x v="45"/>
  </r>
  <r>
    <s v="B-25042"/>
    <n v="8793"/>
    <n v="3010"/>
    <n v="7"/>
    <x v="0"/>
    <x v="0"/>
    <x v="1"/>
    <s v="5/31/2024"/>
    <s v="Spencer Spears"/>
    <x v="5"/>
    <s v="Chicago"/>
    <x v="44"/>
  </r>
  <r>
    <s v="B-25552"/>
    <n v="8788"/>
    <n v="3944"/>
    <n v="19"/>
    <x v="0"/>
    <x v="7"/>
    <x v="2"/>
    <s v="2/28/2023"/>
    <s v="Danny Ramirez"/>
    <x v="0"/>
    <s v="New York City"/>
    <x v="51"/>
  </r>
  <r>
    <s v="B-25328"/>
    <n v="8780"/>
    <n v="3430"/>
    <n v="4"/>
    <x v="2"/>
    <x v="3"/>
    <x v="4"/>
    <d v="2024-07-07T00:00:00"/>
    <s v="Debra Smith"/>
    <x v="1"/>
    <s v="Austin"/>
    <x v="33"/>
  </r>
  <r>
    <s v="B-25328"/>
    <n v="8780"/>
    <n v="3430"/>
    <n v="4"/>
    <x v="2"/>
    <x v="3"/>
    <x v="4"/>
    <s v="7/25/2023"/>
    <s v="Jasmine James"/>
    <x v="1"/>
    <s v="Austin"/>
    <x v="23"/>
  </r>
  <r>
    <s v="B-26209"/>
    <n v="8776"/>
    <n v="2529"/>
    <n v="15"/>
    <x v="1"/>
    <x v="4"/>
    <x v="4"/>
    <s v="3/17/2024"/>
    <s v="Bianca Brown"/>
    <x v="2"/>
    <s v="Columbus"/>
    <x v="40"/>
  </r>
  <r>
    <s v="B-26043"/>
    <n v="8769"/>
    <n v="1989"/>
    <n v="20"/>
    <x v="0"/>
    <x v="7"/>
    <x v="3"/>
    <d v="2020-03-11T00:00:00"/>
    <s v="Sara Peterson"/>
    <x v="5"/>
    <s v="Chicago"/>
    <x v="32"/>
  </r>
  <r>
    <s v="B-26894"/>
    <n v="8769"/>
    <n v="3178"/>
    <n v="16"/>
    <x v="0"/>
    <x v="2"/>
    <x v="0"/>
    <s v="1/20/2023"/>
    <s v="Adam James"/>
    <x v="5"/>
    <s v="Chicago"/>
    <x v="52"/>
  </r>
  <r>
    <s v="B-26819"/>
    <n v="8762"/>
    <n v="3502"/>
    <n v="1"/>
    <x v="2"/>
    <x v="11"/>
    <x v="0"/>
    <s v="8/17/2021"/>
    <s v="Debra Richards"/>
    <x v="3"/>
    <s v="Tampa"/>
    <x v="30"/>
  </r>
  <r>
    <s v="B-26912"/>
    <n v="8752"/>
    <n v="1686"/>
    <n v="9"/>
    <x v="1"/>
    <x v="1"/>
    <x v="0"/>
    <s v="12/27/2020"/>
    <s v="Patrick Hensley MD"/>
    <x v="2"/>
    <s v="Cincinnati"/>
    <x v="53"/>
  </r>
  <r>
    <s v="B-26912"/>
    <n v="8752"/>
    <n v="1686"/>
    <n v="9"/>
    <x v="1"/>
    <x v="1"/>
    <x v="0"/>
    <d v="2023-04-09T00:00:00"/>
    <s v="John Cox"/>
    <x v="5"/>
    <s v="Peoria"/>
    <x v="6"/>
  </r>
  <r>
    <s v="B-26912"/>
    <n v="8752"/>
    <n v="1686"/>
    <n v="9"/>
    <x v="1"/>
    <x v="1"/>
    <x v="0"/>
    <d v="2022-08-01T00:00:00"/>
    <s v="Michelle Sullivan"/>
    <x v="5"/>
    <s v="Chicago"/>
    <x v="13"/>
  </r>
  <r>
    <s v="B-25881"/>
    <n v="8709"/>
    <n v="2322"/>
    <n v="8"/>
    <x v="1"/>
    <x v="1"/>
    <x v="0"/>
    <d v="2024-02-05T00:00:00"/>
    <s v="Sherri Ferguson DVM"/>
    <x v="1"/>
    <s v="Austin"/>
    <x v="44"/>
  </r>
  <r>
    <s v="B-25881"/>
    <n v="8709"/>
    <n v="2322"/>
    <n v="8"/>
    <x v="1"/>
    <x v="1"/>
    <x v="0"/>
    <s v="11/21/2024"/>
    <s v="Kristin Hart"/>
    <x v="4"/>
    <s v="San Francisco"/>
    <x v="46"/>
  </r>
  <r>
    <s v="B-26222"/>
    <n v="8706"/>
    <n v="3099"/>
    <n v="14"/>
    <x v="0"/>
    <x v="0"/>
    <x v="4"/>
    <s v="6/29/2022"/>
    <s v="Carol Mitchell"/>
    <x v="5"/>
    <s v="Chicago"/>
    <x v="10"/>
  </r>
  <r>
    <s v="B-25846"/>
    <n v="8706"/>
    <n v="1724"/>
    <n v="3"/>
    <x v="2"/>
    <x v="3"/>
    <x v="0"/>
    <s v="4/25/2020"/>
    <s v="Erin Vasquez"/>
    <x v="3"/>
    <s v="Orlando"/>
    <x v="18"/>
  </r>
  <r>
    <s v="B-26379"/>
    <n v="8681"/>
    <n v="2458"/>
    <n v="9"/>
    <x v="0"/>
    <x v="0"/>
    <x v="4"/>
    <d v="2020-01-09T00:00:00"/>
    <s v="Mike Armstrong"/>
    <x v="0"/>
    <s v="New York City"/>
    <x v="27"/>
  </r>
  <r>
    <s v="B-26740"/>
    <n v="8680"/>
    <n v="4068"/>
    <n v="20"/>
    <x v="2"/>
    <x v="9"/>
    <x v="4"/>
    <s v="9/27/2023"/>
    <s v="Stephanie Manning"/>
    <x v="3"/>
    <s v="Orlando"/>
    <x v="6"/>
  </r>
  <r>
    <s v="B-26740"/>
    <n v="8680"/>
    <n v="4068"/>
    <n v="20"/>
    <x v="2"/>
    <x v="9"/>
    <x v="4"/>
    <s v="1/30/2025"/>
    <s v="Logan Galloway"/>
    <x v="0"/>
    <s v="New York City"/>
    <x v="35"/>
  </r>
  <r>
    <s v="B-26212"/>
    <n v="8667"/>
    <n v="1266"/>
    <n v="6"/>
    <x v="0"/>
    <x v="7"/>
    <x v="0"/>
    <s v="6/25/2024"/>
    <s v="Janet Carlson"/>
    <x v="3"/>
    <s v="Miami"/>
    <x v="11"/>
  </r>
  <r>
    <s v="B-25364"/>
    <n v="8649"/>
    <n v="2631"/>
    <n v="13"/>
    <x v="2"/>
    <x v="10"/>
    <x v="2"/>
    <d v="2024-10-01T00:00:00"/>
    <s v="Alisha Saunders"/>
    <x v="4"/>
    <s v="San Francisco"/>
    <x v="54"/>
  </r>
  <r>
    <s v="B-25364"/>
    <n v="8649"/>
    <n v="2631"/>
    <n v="13"/>
    <x v="2"/>
    <x v="10"/>
    <x v="2"/>
    <s v="9/30/2020"/>
    <s v="Travis Chandler DDS"/>
    <x v="0"/>
    <s v="Rochester"/>
    <x v="27"/>
  </r>
  <r>
    <s v="B-26426"/>
    <n v="8644"/>
    <n v="1968"/>
    <n v="9"/>
    <x v="0"/>
    <x v="7"/>
    <x v="0"/>
    <s v="11/24/2023"/>
    <s v="Melissa Mitchell"/>
    <x v="5"/>
    <s v="Chicago"/>
    <x v="37"/>
  </r>
  <r>
    <s v="B-26076"/>
    <n v="8639"/>
    <n v="3104"/>
    <n v="19"/>
    <x v="0"/>
    <x v="0"/>
    <x v="2"/>
    <d v="2025-10-03T00:00:00"/>
    <s v="Vanessa Bauer"/>
    <x v="0"/>
    <s v="Buffalo"/>
    <x v="25"/>
  </r>
  <r>
    <s v="B-26076"/>
    <n v="8639"/>
    <n v="3104"/>
    <n v="19"/>
    <x v="0"/>
    <x v="0"/>
    <x v="2"/>
    <s v="9/24/2024"/>
    <s v="Sean Smith"/>
    <x v="2"/>
    <s v="Cleveland"/>
    <x v="39"/>
  </r>
  <r>
    <s v="B-26730"/>
    <n v="8636"/>
    <n v="3192"/>
    <n v="3"/>
    <x v="1"/>
    <x v="5"/>
    <x v="1"/>
    <s v="2/26/2022"/>
    <s v="David Smith"/>
    <x v="3"/>
    <s v="Orlando"/>
    <x v="47"/>
  </r>
  <r>
    <s v="B-26730"/>
    <n v="8636"/>
    <n v="3192"/>
    <n v="3"/>
    <x v="1"/>
    <x v="5"/>
    <x v="1"/>
    <d v="2021-05-04T00:00:00"/>
    <s v="Jacqueline Harris"/>
    <x v="1"/>
    <s v="Houston"/>
    <x v="8"/>
  </r>
  <r>
    <s v="B-26516"/>
    <n v="8590"/>
    <n v="3565"/>
    <n v="15"/>
    <x v="2"/>
    <x v="3"/>
    <x v="2"/>
    <d v="2021-11-11T00:00:00"/>
    <s v="Deborah Hoffman"/>
    <x v="3"/>
    <s v="Miami"/>
    <x v="28"/>
  </r>
  <r>
    <s v="B-26347"/>
    <n v="8586"/>
    <n v="3826"/>
    <n v="7"/>
    <x v="1"/>
    <x v="6"/>
    <x v="3"/>
    <s v="12/21/2020"/>
    <s v="Mary Smith"/>
    <x v="3"/>
    <s v="Miami"/>
    <x v="53"/>
  </r>
  <r>
    <s v="B-26347"/>
    <n v="8586"/>
    <n v="3826"/>
    <n v="7"/>
    <x v="1"/>
    <x v="6"/>
    <x v="3"/>
    <d v="2023-07-07T00:00:00"/>
    <s v="Lance Cain"/>
    <x v="3"/>
    <s v="Tampa"/>
    <x v="23"/>
  </r>
  <r>
    <s v="B-26677"/>
    <n v="8581"/>
    <n v="2444"/>
    <n v="2"/>
    <x v="0"/>
    <x v="7"/>
    <x v="0"/>
    <s v="12/13/2020"/>
    <s v="Philip Baker"/>
    <x v="5"/>
    <s v="Peoria"/>
    <x v="53"/>
  </r>
  <r>
    <s v="B-26677"/>
    <n v="8581"/>
    <n v="2444"/>
    <n v="2"/>
    <x v="0"/>
    <x v="7"/>
    <x v="0"/>
    <s v="11/19/2020"/>
    <s v="Randall Dennis"/>
    <x v="3"/>
    <s v="Orlando"/>
    <x v="32"/>
  </r>
  <r>
    <s v="B-25992"/>
    <n v="8572"/>
    <n v="2041"/>
    <n v="8"/>
    <x v="1"/>
    <x v="1"/>
    <x v="2"/>
    <s v="5/27/2021"/>
    <s v="Alicia Oneill"/>
    <x v="5"/>
    <s v="Springfield"/>
    <x v="12"/>
  </r>
  <r>
    <s v="B-25992"/>
    <n v="8572"/>
    <n v="2041"/>
    <n v="8"/>
    <x v="1"/>
    <x v="1"/>
    <x v="2"/>
    <d v="2023-05-07T00:00:00"/>
    <s v="Rebecca Huff"/>
    <x v="5"/>
    <s v="Springfield"/>
    <x v="23"/>
  </r>
  <r>
    <s v="B-25992"/>
    <n v="8572"/>
    <n v="2041"/>
    <n v="8"/>
    <x v="1"/>
    <x v="1"/>
    <x v="2"/>
    <s v="10/27/2020"/>
    <s v="Diana Scott"/>
    <x v="4"/>
    <s v="San Diego"/>
    <x v="19"/>
  </r>
  <r>
    <s v="B-26800"/>
    <n v="8568"/>
    <n v="2419"/>
    <n v="11"/>
    <x v="2"/>
    <x v="3"/>
    <x v="3"/>
    <s v="10/23/2021"/>
    <s v="Anthony Williams"/>
    <x v="0"/>
    <s v="Rochester"/>
    <x v="0"/>
  </r>
  <r>
    <s v="B-26759"/>
    <n v="8563"/>
    <n v="2624"/>
    <n v="8"/>
    <x v="0"/>
    <x v="8"/>
    <x v="1"/>
    <d v="2024-10-11T00:00:00"/>
    <s v="Rebecca Smith"/>
    <x v="1"/>
    <s v="Dallas"/>
    <x v="46"/>
  </r>
  <r>
    <s v="B-25170"/>
    <n v="8560"/>
    <n v="2166"/>
    <n v="19"/>
    <x v="0"/>
    <x v="8"/>
    <x v="2"/>
    <s v="5/27/2022"/>
    <s v="Matthew Gardner"/>
    <x v="3"/>
    <s v="Tampa"/>
    <x v="41"/>
  </r>
  <r>
    <s v="B-25553"/>
    <n v="8558"/>
    <n v="1644"/>
    <n v="18"/>
    <x v="0"/>
    <x v="8"/>
    <x v="4"/>
    <s v="5/30/2024"/>
    <s v="Karen Johnson"/>
    <x v="0"/>
    <s v="Rochester"/>
    <x v="44"/>
  </r>
  <r>
    <s v="B-25488"/>
    <n v="8555"/>
    <n v="1638"/>
    <n v="8"/>
    <x v="2"/>
    <x v="10"/>
    <x v="4"/>
    <d v="2024-05-10T00:00:00"/>
    <s v="Christopher Thomas"/>
    <x v="0"/>
    <s v="New York City"/>
    <x v="50"/>
  </r>
  <r>
    <s v="B-25770"/>
    <n v="8548"/>
    <n v="2305"/>
    <n v="1"/>
    <x v="0"/>
    <x v="8"/>
    <x v="1"/>
    <s v="10/30/2022"/>
    <s v="James Taylor"/>
    <x v="3"/>
    <s v="Tampa"/>
    <x v="29"/>
  </r>
  <r>
    <s v="B-26898"/>
    <n v="8541"/>
    <n v="2029"/>
    <n v="12"/>
    <x v="2"/>
    <x v="3"/>
    <x v="4"/>
    <d v="2022-11-04T00:00:00"/>
    <s v="Dean Avila"/>
    <x v="2"/>
    <s v="Cincinnati"/>
    <x v="1"/>
  </r>
  <r>
    <s v="B-26228"/>
    <n v="8537"/>
    <n v="3586"/>
    <n v="13"/>
    <x v="0"/>
    <x v="2"/>
    <x v="3"/>
    <s v="9/16/2022"/>
    <s v="Kathryn Gray"/>
    <x v="0"/>
    <s v="Rochester"/>
    <x v="4"/>
  </r>
  <r>
    <s v="B-25815"/>
    <n v="8531"/>
    <n v="2555"/>
    <n v="4"/>
    <x v="2"/>
    <x v="10"/>
    <x v="2"/>
    <s v="5/14/2022"/>
    <s v="Jasmine Gibbs"/>
    <x v="1"/>
    <s v="Austin"/>
    <x v="41"/>
  </r>
  <r>
    <s v="B-25153"/>
    <n v="8526"/>
    <n v="1704"/>
    <n v="4"/>
    <x v="0"/>
    <x v="8"/>
    <x v="0"/>
    <s v="3/21/2023"/>
    <s v="Patricia Sanford"/>
    <x v="1"/>
    <s v="Austin"/>
    <x v="7"/>
  </r>
  <r>
    <s v="B-25243"/>
    <n v="8524"/>
    <n v="154"/>
    <n v="14"/>
    <x v="1"/>
    <x v="1"/>
    <x v="1"/>
    <s v="6/16/2024"/>
    <s v="Cory Evans"/>
    <x v="3"/>
    <s v="Orlando"/>
    <x v="11"/>
  </r>
  <r>
    <s v="B-25511"/>
    <n v="8521"/>
    <n v="2584"/>
    <n v="7"/>
    <x v="0"/>
    <x v="7"/>
    <x v="1"/>
    <s v="1/29/2025"/>
    <s v="Samuel Hayes"/>
    <x v="5"/>
    <s v="Peoria"/>
    <x v="35"/>
  </r>
  <r>
    <s v="B-25502"/>
    <n v="8490"/>
    <n v="800"/>
    <n v="1"/>
    <x v="0"/>
    <x v="0"/>
    <x v="2"/>
    <s v="5/24/2020"/>
    <s v="Tammy Day"/>
    <x v="0"/>
    <s v="New York City"/>
    <x v="48"/>
  </r>
  <r>
    <s v="B-25905"/>
    <n v="8490"/>
    <n v="3485"/>
    <n v="3"/>
    <x v="2"/>
    <x v="11"/>
    <x v="4"/>
    <s v="3/21/2023"/>
    <s v="Jeffrey Dixon"/>
    <x v="0"/>
    <s v="New York City"/>
    <x v="7"/>
  </r>
  <r>
    <s v="B-26910"/>
    <n v="8468"/>
    <n v="3666"/>
    <n v="8"/>
    <x v="0"/>
    <x v="0"/>
    <x v="3"/>
    <s v="4/29/2024"/>
    <s v="Mr. Ralph Garcia Jr."/>
    <x v="0"/>
    <s v="Rochester"/>
    <x v="24"/>
  </r>
  <r>
    <s v="B-25744"/>
    <n v="8438"/>
    <n v="3427"/>
    <n v="12"/>
    <x v="0"/>
    <x v="8"/>
    <x v="4"/>
    <s v="1/14/2022"/>
    <s v="Sherry Tran"/>
    <x v="0"/>
    <s v="Buffalo"/>
    <x v="13"/>
  </r>
  <r>
    <s v="B-26752"/>
    <n v="8422"/>
    <n v="893"/>
    <n v="18"/>
    <x v="2"/>
    <x v="9"/>
    <x v="0"/>
    <d v="2022-11-08T00:00:00"/>
    <s v="Roy Miller"/>
    <x v="4"/>
    <s v="San Francisco"/>
    <x v="2"/>
  </r>
  <r>
    <s v="B-26752"/>
    <n v="8422"/>
    <n v="893"/>
    <n v="18"/>
    <x v="2"/>
    <x v="9"/>
    <x v="0"/>
    <d v="2022-12-08T00:00:00"/>
    <s v="Christopher Espinoza"/>
    <x v="2"/>
    <s v="Columbus"/>
    <x v="2"/>
  </r>
  <r>
    <s v="B-26038"/>
    <n v="8400"/>
    <n v="267"/>
    <n v="5"/>
    <x v="2"/>
    <x v="11"/>
    <x v="0"/>
    <d v="2024-08-10T00:00:00"/>
    <s v="Kimberly King"/>
    <x v="2"/>
    <s v="Columbus"/>
    <x v="50"/>
  </r>
  <r>
    <s v="B-25645"/>
    <n v="8383"/>
    <n v="937"/>
    <n v="4"/>
    <x v="1"/>
    <x v="4"/>
    <x v="3"/>
    <d v="2024-05-05T00:00:00"/>
    <s v="Brett Mullins"/>
    <x v="3"/>
    <s v="Orlando"/>
    <x v="44"/>
  </r>
  <r>
    <s v="B-25620"/>
    <n v="8364"/>
    <n v="3055"/>
    <n v="17"/>
    <x v="2"/>
    <x v="10"/>
    <x v="4"/>
    <s v="10/18/2023"/>
    <s v="Benjamin Meadows"/>
    <x v="5"/>
    <s v="Peoria"/>
    <x v="43"/>
  </r>
  <r>
    <s v="B-25620"/>
    <n v="8364"/>
    <n v="3055"/>
    <n v="17"/>
    <x v="2"/>
    <x v="10"/>
    <x v="4"/>
    <s v="6/13/2022"/>
    <s v="Micheal Graham"/>
    <x v="0"/>
    <s v="Buffalo"/>
    <x v="10"/>
  </r>
  <r>
    <s v="B-26032"/>
    <n v="8346"/>
    <n v="1176"/>
    <n v="1"/>
    <x v="2"/>
    <x v="11"/>
    <x v="1"/>
    <s v="8/21/2020"/>
    <s v="Scott Lewis"/>
    <x v="1"/>
    <s v="Houston"/>
    <x v="22"/>
  </r>
  <r>
    <s v="B-26032"/>
    <n v="8346"/>
    <n v="1176"/>
    <n v="1"/>
    <x v="2"/>
    <x v="11"/>
    <x v="1"/>
    <s v="4/17/2023"/>
    <s v="Eric Griffith"/>
    <x v="5"/>
    <s v="Chicago"/>
    <x v="26"/>
  </r>
  <r>
    <s v="B-26032"/>
    <n v="8346"/>
    <n v="1176"/>
    <n v="1"/>
    <x v="2"/>
    <x v="11"/>
    <x v="1"/>
    <s v="12/24/2023"/>
    <s v="Anna Ferguson"/>
    <x v="4"/>
    <s v="San Francisco"/>
    <x v="15"/>
  </r>
  <r>
    <s v="B-25590"/>
    <n v="8305"/>
    <n v="1577"/>
    <n v="6"/>
    <x v="0"/>
    <x v="8"/>
    <x v="0"/>
    <s v="12/16/2020"/>
    <s v="Darrell Ramos"/>
    <x v="0"/>
    <s v="Rochester"/>
    <x v="53"/>
  </r>
  <r>
    <s v="B-25730"/>
    <n v="8293"/>
    <n v="2632"/>
    <n v="8"/>
    <x v="0"/>
    <x v="8"/>
    <x v="1"/>
    <d v="2022-05-01T00:00:00"/>
    <s v="Justin Rodriguez"/>
    <x v="2"/>
    <s v="Cleveland"/>
    <x v="13"/>
  </r>
  <r>
    <s v="B-25730"/>
    <n v="8293"/>
    <n v="2632"/>
    <n v="8"/>
    <x v="0"/>
    <x v="8"/>
    <x v="1"/>
    <s v="10/17/2020"/>
    <s v="Ms. Emily Baxter"/>
    <x v="0"/>
    <s v="Rochester"/>
    <x v="19"/>
  </r>
  <r>
    <s v="B-25730"/>
    <n v="8293"/>
    <n v="2632"/>
    <n v="8"/>
    <x v="0"/>
    <x v="8"/>
    <x v="1"/>
    <s v="8/21/2023"/>
    <s v="Austin White"/>
    <x v="4"/>
    <s v="Los Angeles"/>
    <x v="55"/>
  </r>
  <r>
    <s v="B-25742"/>
    <n v="8245"/>
    <n v="324"/>
    <n v="11"/>
    <x v="0"/>
    <x v="7"/>
    <x v="2"/>
    <d v="2024-02-07T00:00:00"/>
    <s v="Taylor White"/>
    <x v="5"/>
    <s v="Springfield"/>
    <x v="33"/>
  </r>
  <r>
    <s v="B-25746"/>
    <n v="8243"/>
    <n v="1346"/>
    <n v="15"/>
    <x v="0"/>
    <x v="8"/>
    <x v="0"/>
    <d v="2021-04-04T00:00:00"/>
    <s v="Manuel Walls"/>
    <x v="1"/>
    <s v="Houston"/>
    <x v="8"/>
  </r>
  <r>
    <s v="B-25763"/>
    <n v="8220"/>
    <n v="3882"/>
    <n v="14"/>
    <x v="1"/>
    <x v="5"/>
    <x v="3"/>
    <s v="1/18/2022"/>
    <s v="Clayton Lara"/>
    <x v="3"/>
    <s v="Miami"/>
    <x v="13"/>
  </r>
  <r>
    <s v="B-26576"/>
    <n v="8218"/>
    <n v="1430"/>
    <n v="19"/>
    <x v="1"/>
    <x v="6"/>
    <x v="4"/>
    <d v="2023-08-06T00:00:00"/>
    <s v="William Walters"/>
    <x v="4"/>
    <s v="San Francisco"/>
    <x v="20"/>
  </r>
  <r>
    <s v="B-26523"/>
    <n v="8204"/>
    <n v="2382"/>
    <n v="6"/>
    <x v="0"/>
    <x v="0"/>
    <x v="3"/>
    <s v="3/31/2020"/>
    <s v="Jasmine Delgado"/>
    <x v="5"/>
    <s v="Chicago"/>
    <x v="49"/>
  </r>
  <r>
    <s v="B-26523"/>
    <n v="8204"/>
    <n v="2382"/>
    <n v="6"/>
    <x v="0"/>
    <x v="0"/>
    <x v="3"/>
    <s v="10/20/2020"/>
    <s v="Kristen Harper"/>
    <x v="0"/>
    <s v="Buffalo"/>
    <x v="19"/>
  </r>
  <r>
    <s v="B-25894"/>
    <n v="8200"/>
    <n v="257"/>
    <n v="19"/>
    <x v="2"/>
    <x v="10"/>
    <x v="1"/>
    <s v="3/21/2023"/>
    <s v="Tammy Bell"/>
    <x v="2"/>
    <s v="Cincinnati"/>
    <x v="7"/>
  </r>
  <r>
    <s v="B-25971"/>
    <n v="8194"/>
    <n v="2881"/>
    <n v="6"/>
    <x v="0"/>
    <x v="7"/>
    <x v="0"/>
    <s v="7/18/2021"/>
    <s v="Kelly Pacheco"/>
    <x v="1"/>
    <s v="Houston"/>
    <x v="14"/>
  </r>
  <r>
    <s v="B-25504"/>
    <n v="8178"/>
    <n v="2462"/>
    <n v="10"/>
    <x v="0"/>
    <x v="0"/>
    <x v="3"/>
    <s v="8/20/2023"/>
    <s v="David Bell"/>
    <x v="4"/>
    <s v="Los Angeles"/>
    <x v="55"/>
  </r>
  <r>
    <s v="B-25916"/>
    <n v="8175"/>
    <n v="525"/>
    <n v="7"/>
    <x v="1"/>
    <x v="4"/>
    <x v="4"/>
    <d v="2022-07-12T00:00:00"/>
    <s v="Christina Davis"/>
    <x v="5"/>
    <s v="Chicago"/>
    <x v="9"/>
  </r>
  <r>
    <s v="B-25916"/>
    <n v="8175"/>
    <n v="525"/>
    <n v="7"/>
    <x v="1"/>
    <x v="4"/>
    <x v="4"/>
    <s v="4/29/2024"/>
    <s v="Claudia Curry"/>
    <x v="1"/>
    <s v="Austin"/>
    <x v="24"/>
  </r>
  <r>
    <s v="B-26505"/>
    <n v="8158"/>
    <n v="2052"/>
    <n v="13"/>
    <x v="2"/>
    <x v="11"/>
    <x v="0"/>
    <s v="9/21/2020"/>
    <s v="Mary Wright"/>
    <x v="2"/>
    <s v="Cincinnati"/>
    <x v="27"/>
  </r>
  <r>
    <s v="B-25148"/>
    <n v="8141"/>
    <n v="3968"/>
    <n v="18"/>
    <x v="0"/>
    <x v="2"/>
    <x v="0"/>
    <s v="12/23/2022"/>
    <s v="William Morse"/>
    <x v="0"/>
    <s v="Rochester"/>
    <x v="9"/>
  </r>
  <r>
    <s v="B-25148"/>
    <n v="8141"/>
    <n v="3968"/>
    <n v="18"/>
    <x v="0"/>
    <x v="2"/>
    <x v="0"/>
    <d v="2022-10-08T00:00:00"/>
    <s v="Carrie Smith"/>
    <x v="5"/>
    <s v="Peoria"/>
    <x v="2"/>
  </r>
  <r>
    <s v="B-26640"/>
    <n v="8127"/>
    <n v="3551"/>
    <n v="16"/>
    <x v="1"/>
    <x v="1"/>
    <x v="4"/>
    <s v="11/18/2022"/>
    <s v="Richard Kelley"/>
    <x v="4"/>
    <s v="Los Angeles"/>
    <x v="56"/>
  </r>
  <r>
    <s v="B-25298"/>
    <n v="8104"/>
    <n v="1039"/>
    <n v="6"/>
    <x v="0"/>
    <x v="2"/>
    <x v="1"/>
    <s v="11/24/2021"/>
    <s v="Lisa Mcintyre"/>
    <x v="3"/>
    <s v="Orlando"/>
    <x v="28"/>
  </r>
  <r>
    <s v="B-25298"/>
    <n v="8104"/>
    <n v="1039"/>
    <n v="6"/>
    <x v="0"/>
    <x v="2"/>
    <x v="1"/>
    <d v="2021-06-10T00:00:00"/>
    <s v="Carolyn Gonzalez"/>
    <x v="3"/>
    <s v="Miami"/>
    <x v="0"/>
  </r>
  <r>
    <s v="B-25298"/>
    <n v="8104"/>
    <n v="1039"/>
    <n v="6"/>
    <x v="0"/>
    <x v="2"/>
    <x v="1"/>
    <s v="1/27/2025"/>
    <s v="Christina Oconnell"/>
    <x v="4"/>
    <s v="San Francisco"/>
    <x v="35"/>
  </r>
  <r>
    <s v="B-26679"/>
    <n v="8102"/>
    <n v="1800"/>
    <n v="5"/>
    <x v="0"/>
    <x v="2"/>
    <x v="3"/>
    <s v="9/14/2023"/>
    <s v="Leonard Gonzalez"/>
    <x v="4"/>
    <s v="San Francisco"/>
    <x v="6"/>
  </r>
  <r>
    <s v="B-26679"/>
    <n v="8102"/>
    <n v="1800"/>
    <n v="5"/>
    <x v="0"/>
    <x v="2"/>
    <x v="3"/>
    <s v="4/29/2020"/>
    <s v="Richard Lee"/>
    <x v="0"/>
    <s v="Buffalo"/>
    <x v="18"/>
  </r>
  <r>
    <s v="B-26679"/>
    <n v="8102"/>
    <n v="1800"/>
    <n v="5"/>
    <x v="0"/>
    <x v="2"/>
    <x v="3"/>
    <s v="12/15/2020"/>
    <s v="Matthew Schroeder"/>
    <x v="2"/>
    <s v="Cleveland"/>
    <x v="53"/>
  </r>
  <r>
    <s v="B-26222"/>
    <n v="8089"/>
    <n v="3132"/>
    <n v="17"/>
    <x v="1"/>
    <x v="5"/>
    <x v="1"/>
    <s v="6/29/2022"/>
    <s v="Carol Mitchell"/>
    <x v="5"/>
    <s v="Chicago"/>
    <x v="10"/>
  </r>
  <r>
    <s v="B-26841"/>
    <n v="8077"/>
    <n v="240"/>
    <n v="15"/>
    <x v="1"/>
    <x v="4"/>
    <x v="4"/>
    <d v="2020-12-09T00:00:00"/>
    <s v="Jill Jones"/>
    <x v="0"/>
    <s v="New York City"/>
    <x v="27"/>
  </r>
  <r>
    <s v="B-25992"/>
    <n v="8059"/>
    <n v="1834"/>
    <n v="10"/>
    <x v="2"/>
    <x v="9"/>
    <x v="4"/>
    <s v="5/27/2021"/>
    <s v="Alicia Oneill"/>
    <x v="5"/>
    <s v="Springfield"/>
    <x v="12"/>
  </r>
  <r>
    <s v="B-25992"/>
    <n v="8059"/>
    <n v="1834"/>
    <n v="10"/>
    <x v="2"/>
    <x v="9"/>
    <x v="4"/>
    <d v="2023-05-07T00:00:00"/>
    <s v="Rebecca Huff"/>
    <x v="5"/>
    <s v="Springfield"/>
    <x v="23"/>
  </r>
  <r>
    <s v="B-25992"/>
    <n v="8059"/>
    <n v="1834"/>
    <n v="10"/>
    <x v="2"/>
    <x v="9"/>
    <x v="4"/>
    <s v="10/27/2020"/>
    <s v="Diana Scott"/>
    <x v="4"/>
    <s v="San Diego"/>
    <x v="19"/>
  </r>
  <r>
    <s v="B-26656"/>
    <n v="8055"/>
    <n v="661"/>
    <n v="10"/>
    <x v="2"/>
    <x v="11"/>
    <x v="2"/>
    <d v="2022-12-10T00:00:00"/>
    <s v="Michael Rodriguez"/>
    <x v="0"/>
    <s v="Rochester"/>
    <x v="29"/>
  </r>
  <r>
    <s v="B-26656"/>
    <n v="8055"/>
    <n v="661"/>
    <n v="10"/>
    <x v="2"/>
    <x v="11"/>
    <x v="2"/>
    <s v="5/23/2020"/>
    <s v="Matthew Huff"/>
    <x v="4"/>
    <s v="San Diego"/>
    <x v="48"/>
  </r>
  <r>
    <s v="B-26656"/>
    <n v="8055"/>
    <n v="661"/>
    <n v="10"/>
    <x v="2"/>
    <x v="11"/>
    <x v="2"/>
    <s v="4/18/2020"/>
    <s v="Linda Little"/>
    <x v="3"/>
    <s v="Tampa"/>
    <x v="18"/>
  </r>
  <r>
    <s v="B-25436"/>
    <n v="8044"/>
    <n v="3634"/>
    <n v="3"/>
    <x v="0"/>
    <x v="2"/>
    <x v="1"/>
    <s v="12/24/2020"/>
    <s v="Andre Fernandez"/>
    <x v="3"/>
    <s v="Orlando"/>
    <x v="53"/>
  </r>
  <r>
    <s v="B-25436"/>
    <n v="8044"/>
    <n v="3634"/>
    <n v="3"/>
    <x v="0"/>
    <x v="2"/>
    <x v="1"/>
    <d v="2022-07-10T00:00:00"/>
    <s v="Anthony West"/>
    <x v="4"/>
    <s v="San Diego"/>
    <x v="29"/>
  </r>
  <r>
    <s v="B-26240"/>
    <n v="8042"/>
    <n v="936"/>
    <n v="15"/>
    <x v="0"/>
    <x v="2"/>
    <x v="2"/>
    <d v="2021-09-07T00:00:00"/>
    <s v="Michael Williams"/>
    <x v="5"/>
    <s v="Springfield"/>
    <x v="14"/>
  </r>
  <r>
    <s v="B-26240"/>
    <n v="8042"/>
    <n v="936"/>
    <n v="15"/>
    <x v="0"/>
    <x v="2"/>
    <x v="2"/>
    <d v="2022-08-04T00:00:00"/>
    <s v="Zachary Carpenter"/>
    <x v="4"/>
    <s v="Los Angeles"/>
    <x v="1"/>
  </r>
  <r>
    <s v="B-26975"/>
    <n v="8020"/>
    <n v="3898"/>
    <n v="20"/>
    <x v="2"/>
    <x v="3"/>
    <x v="2"/>
    <s v="6/23/2024"/>
    <s v="Elizabeth Gonzalez"/>
    <x v="4"/>
    <s v="San Diego"/>
    <x v="11"/>
  </r>
  <r>
    <s v="B-25889"/>
    <n v="7992"/>
    <n v="893"/>
    <n v="12"/>
    <x v="2"/>
    <x v="10"/>
    <x v="4"/>
    <s v="9/13/2024"/>
    <s v="Jennifer Hernandez"/>
    <x v="2"/>
    <s v="Cleveland"/>
    <x v="39"/>
  </r>
  <r>
    <s v="B-25889"/>
    <n v="7992"/>
    <n v="893"/>
    <n v="12"/>
    <x v="2"/>
    <x v="10"/>
    <x v="4"/>
    <d v="2023-04-05T00:00:00"/>
    <s v="Shannon Warren"/>
    <x v="0"/>
    <s v="New York City"/>
    <x v="38"/>
  </r>
  <r>
    <s v="B-25889"/>
    <n v="7992"/>
    <n v="893"/>
    <n v="12"/>
    <x v="2"/>
    <x v="10"/>
    <x v="4"/>
    <s v="5/31/2023"/>
    <s v="Ashley Aguilar"/>
    <x v="5"/>
    <s v="Chicago"/>
    <x v="38"/>
  </r>
  <r>
    <s v="B-26383"/>
    <n v="7967"/>
    <n v="2504"/>
    <n v="13"/>
    <x v="2"/>
    <x v="9"/>
    <x v="2"/>
    <d v="2023-12-01T00:00:00"/>
    <s v="Brittany Jenkins"/>
    <x v="0"/>
    <s v="Buffalo"/>
    <x v="52"/>
  </r>
  <r>
    <s v="B-26383"/>
    <n v="7967"/>
    <n v="2504"/>
    <n v="13"/>
    <x v="2"/>
    <x v="9"/>
    <x v="2"/>
    <s v="5/19/2023"/>
    <s v="Eddie Gonzales"/>
    <x v="2"/>
    <s v="Cleveland"/>
    <x v="38"/>
  </r>
  <r>
    <s v="B-25099"/>
    <n v="7957"/>
    <n v="2834"/>
    <n v="12"/>
    <x v="1"/>
    <x v="5"/>
    <x v="3"/>
    <s v="12/22/2021"/>
    <s v="William Valdez"/>
    <x v="4"/>
    <s v="San Diego"/>
    <x v="45"/>
  </r>
  <r>
    <s v="B-26803"/>
    <n v="7957"/>
    <n v="965"/>
    <n v="4"/>
    <x v="1"/>
    <x v="4"/>
    <x v="4"/>
    <s v="5/16/2022"/>
    <s v="Elizabeth White"/>
    <x v="0"/>
    <s v="Rochester"/>
    <x v="41"/>
  </r>
  <r>
    <s v="B-26106"/>
    <n v="7952"/>
    <n v="3865"/>
    <n v="8"/>
    <x v="1"/>
    <x v="4"/>
    <x v="0"/>
    <d v="2020-10-08T00:00:00"/>
    <s v="Mr. Gregg Sawyer"/>
    <x v="5"/>
    <s v="Peoria"/>
    <x v="22"/>
  </r>
  <r>
    <s v="B-26065"/>
    <n v="7930"/>
    <n v="1981"/>
    <n v="13"/>
    <x v="1"/>
    <x v="5"/>
    <x v="4"/>
    <d v="2023-04-05T00:00:00"/>
    <s v="Kaitlyn Flores"/>
    <x v="2"/>
    <s v="Cleveland"/>
    <x v="38"/>
  </r>
  <r>
    <s v="B-26065"/>
    <n v="7930"/>
    <n v="1981"/>
    <n v="13"/>
    <x v="1"/>
    <x v="5"/>
    <x v="4"/>
    <d v="2024-09-08T00:00:00"/>
    <s v="Rebecca Owen"/>
    <x v="5"/>
    <s v="Springfield"/>
    <x v="57"/>
  </r>
  <r>
    <s v="B-26564"/>
    <n v="7909"/>
    <n v="1942"/>
    <n v="19"/>
    <x v="2"/>
    <x v="11"/>
    <x v="1"/>
    <s v="2/16/2024"/>
    <s v="Daryl Miles"/>
    <x v="3"/>
    <s v="Orlando"/>
    <x v="16"/>
  </r>
  <r>
    <s v="B-26986"/>
    <n v="7900"/>
    <n v="482"/>
    <n v="4"/>
    <x v="2"/>
    <x v="11"/>
    <x v="1"/>
    <d v="2025-08-03T00:00:00"/>
    <s v="William Martin"/>
    <x v="2"/>
    <s v="Columbus"/>
    <x v="25"/>
  </r>
  <r>
    <s v="B-25999"/>
    <n v="7895"/>
    <n v="1005"/>
    <n v="1"/>
    <x v="1"/>
    <x v="5"/>
    <x v="4"/>
    <s v="10/28/2023"/>
    <s v="Nancy Boyd"/>
    <x v="2"/>
    <s v="Cincinnati"/>
    <x v="43"/>
  </r>
  <r>
    <s v="B-25999"/>
    <n v="7895"/>
    <n v="1005"/>
    <n v="1"/>
    <x v="1"/>
    <x v="5"/>
    <x v="4"/>
    <d v="2025-01-03T00:00:00"/>
    <s v="Raymond Reyes"/>
    <x v="4"/>
    <s v="San Diego"/>
    <x v="25"/>
  </r>
  <r>
    <s v="B-25010"/>
    <n v="7870"/>
    <n v="1057"/>
    <n v="15"/>
    <x v="0"/>
    <x v="0"/>
    <x v="4"/>
    <s v="10/18/2023"/>
    <s v="Howard Esparza"/>
    <x v="1"/>
    <s v="Houston"/>
    <x v="43"/>
  </r>
  <r>
    <s v="B-25010"/>
    <n v="7870"/>
    <n v="1057"/>
    <n v="15"/>
    <x v="0"/>
    <x v="0"/>
    <x v="4"/>
    <s v="3/21/2021"/>
    <s v="James Hickman"/>
    <x v="2"/>
    <s v="Cleveland"/>
    <x v="36"/>
  </r>
  <r>
    <s v="B-26469"/>
    <n v="7856"/>
    <n v="3699"/>
    <n v="17"/>
    <x v="2"/>
    <x v="3"/>
    <x v="3"/>
    <s v="3/24/2021"/>
    <s v="Eric Clark"/>
    <x v="3"/>
    <s v="Orlando"/>
    <x v="36"/>
  </r>
  <r>
    <s v="B-26916"/>
    <n v="7846"/>
    <n v="677"/>
    <n v="12"/>
    <x v="1"/>
    <x v="5"/>
    <x v="3"/>
    <s v="10/21/2022"/>
    <s v="Kaylee Glover"/>
    <x v="5"/>
    <s v="Springfield"/>
    <x v="29"/>
  </r>
  <r>
    <s v="B-26916"/>
    <n v="7846"/>
    <n v="677"/>
    <n v="12"/>
    <x v="1"/>
    <x v="5"/>
    <x v="3"/>
    <s v="10/21/2020"/>
    <s v="Pamela Patterson"/>
    <x v="4"/>
    <s v="San Francisco"/>
    <x v="19"/>
  </r>
  <r>
    <s v="B-26654"/>
    <n v="7838"/>
    <n v="1142"/>
    <n v="13"/>
    <x v="2"/>
    <x v="11"/>
    <x v="3"/>
    <s v="2/18/2021"/>
    <s v="Mrs. Jennifer Lewis"/>
    <x v="4"/>
    <s v="San Francisco"/>
    <x v="42"/>
  </r>
  <r>
    <s v="B-26332"/>
    <n v="7826"/>
    <n v="1221"/>
    <n v="14"/>
    <x v="1"/>
    <x v="6"/>
    <x v="3"/>
    <d v="2022-10-06T00:00:00"/>
    <s v="George Foster"/>
    <x v="1"/>
    <s v="Dallas"/>
    <x v="10"/>
  </r>
  <r>
    <s v="B-26332"/>
    <n v="7826"/>
    <n v="1221"/>
    <n v="14"/>
    <x v="1"/>
    <x v="6"/>
    <x v="3"/>
    <s v="11/16/2021"/>
    <s v="Nicholas Anderson"/>
    <x v="3"/>
    <s v="Orlando"/>
    <x v="28"/>
  </r>
  <r>
    <s v="B-26332"/>
    <n v="7826"/>
    <n v="1221"/>
    <n v="14"/>
    <x v="1"/>
    <x v="6"/>
    <x v="3"/>
    <s v="8/17/2022"/>
    <s v="Emily Ellison"/>
    <x v="4"/>
    <s v="Los Angeles"/>
    <x v="2"/>
  </r>
  <r>
    <s v="B-25483"/>
    <n v="7821"/>
    <n v="3821"/>
    <n v="13"/>
    <x v="2"/>
    <x v="10"/>
    <x v="2"/>
    <d v="2021-06-09T00:00:00"/>
    <s v="Carrie Alvarez"/>
    <x v="5"/>
    <s v="Peoria"/>
    <x v="58"/>
  </r>
  <r>
    <s v="B-25568"/>
    <n v="7811"/>
    <n v="1538"/>
    <n v="12"/>
    <x v="1"/>
    <x v="4"/>
    <x v="1"/>
    <s v="3/25/2022"/>
    <s v="Melissa Peck"/>
    <x v="3"/>
    <s v="Miami"/>
    <x v="3"/>
  </r>
  <r>
    <s v="B-25196"/>
    <n v="7806"/>
    <n v="1127"/>
    <n v="1"/>
    <x v="0"/>
    <x v="2"/>
    <x v="4"/>
    <s v="7/20/2023"/>
    <s v="William Hill"/>
    <x v="1"/>
    <s v="Dallas"/>
    <x v="23"/>
  </r>
  <r>
    <s v="B-25232"/>
    <n v="7792"/>
    <n v="1403"/>
    <n v="13"/>
    <x v="0"/>
    <x v="7"/>
    <x v="3"/>
    <d v="2021-12-02T00:00:00"/>
    <s v="Darren Moore"/>
    <x v="5"/>
    <s v="Peoria"/>
    <x v="42"/>
  </r>
  <r>
    <s v="B-25232"/>
    <n v="7792"/>
    <n v="1403"/>
    <n v="13"/>
    <x v="0"/>
    <x v="7"/>
    <x v="3"/>
    <s v="12/27/2022"/>
    <s v="Stephanie Thomas"/>
    <x v="0"/>
    <s v="Rochester"/>
    <x v="9"/>
  </r>
  <r>
    <s v="B-25232"/>
    <n v="7792"/>
    <n v="1403"/>
    <n v="13"/>
    <x v="0"/>
    <x v="7"/>
    <x v="3"/>
    <s v="1/19/2024"/>
    <s v="Kristy Hernandez"/>
    <x v="4"/>
    <s v="San Diego"/>
    <x v="54"/>
  </r>
  <r>
    <s v="B-26909"/>
    <n v="7786"/>
    <n v="1202"/>
    <n v="4"/>
    <x v="1"/>
    <x v="4"/>
    <x v="2"/>
    <s v="6/23/2020"/>
    <s v="Daniel Brooks"/>
    <x v="5"/>
    <s v="Peoria"/>
    <x v="5"/>
  </r>
  <r>
    <s v="B-25032"/>
    <n v="7784"/>
    <n v="2937"/>
    <n v="12"/>
    <x v="0"/>
    <x v="2"/>
    <x v="3"/>
    <d v="2024-06-08T00:00:00"/>
    <s v="Denise Hampton"/>
    <x v="4"/>
    <s v="San Francisco"/>
    <x v="57"/>
  </r>
  <r>
    <s v="B-25400"/>
    <n v="7759"/>
    <n v="3741"/>
    <n v="17"/>
    <x v="2"/>
    <x v="9"/>
    <x v="3"/>
    <s v="3/24/2021"/>
    <s v="Maria Thomas"/>
    <x v="3"/>
    <s v="Miami"/>
    <x v="36"/>
  </r>
  <r>
    <s v="B-25400"/>
    <n v="7759"/>
    <n v="3741"/>
    <n v="17"/>
    <x v="2"/>
    <x v="9"/>
    <x v="3"/>
    <d v="2025-06-01T00:00:00"/>
    <s v="Nicholas Johnson"/>
    <x v="1"/>
    <s v="Dallas"/>
    <x v="35"/>
  </r>
  <r>
    <s v="B-26319"/>
    <n v="7748"/>
    <n v="1706"/>
    <n v="16"/>
    <x v="2"/>
    <x v="3"/>
    <x v="2"/>
    <d v="2020-02-05T00:00:00"/>
    <s v="Andrew Fernandez"/>
    <x v="2"/>
    <s v="Cincinnati"/>
    <x v="48"/>
  </r>
  <r>
    <s v="B-25243"/>
    <n v="7733"/>
    <n v="2784"/>
    <n v="15"/>
    <x v="1"/>
    <x v="1"/>
    <x v="2"/>
    <s v="6/16/2024"/>
    <s v="Cory Evans"/>
    <x v="3"/>
    <s v="Orlando"/>
    <x v="11"/>
  </r>
  <r>
    <s v="B-25427"/>
    <n v="7702"/>
    <n v="60"/>
    <n v="19"/>
    <x v="2"/>
    <x v="9"/>
    <x v="3"/>
    <d v="2020-04-04T00:00:00"/>
    <s v="Richard Blair"/>
    <x v="3"/>
    <s v="Miami"/>
    <x v="18"/>
  </r>
  <r>
    <s v="B-26159"/>
    <n v="7700"/>
    <n v="2712"/>
    <n v="1"/>
    <x v="1"/>
    <x v="4"/>
    <x v="4"/>
    <d v="2023-07-11T00:00:00"/>
    <s v="Cheyenne Rose"/>
    <x v="3"/>
    <s v="Orlando"/>
    <x v="37"/>
  </r>
  <r>
    <s v="B-26159"/>
    <n v="7700"/>
    <n v="2712"/>
    <n v="1"/>
    <x v="1"/>
    <x v="4"/>
    <x v="4"/>
    <s v="4/16/2024"/>
    <s v="Richard Petersen"/>
    <x v="5"/>
    <s v="Chicago"/>
    <x v="24"/>
  </r>
  <r>
    <s v="B-25350"/>
    <n v="7699"/>
    <n v="246"/>
    <n v="5"/>
    <x v="2"/>
    <x v="3"/>
    <x v="0"/>
    <s v="9/23/2023"/>
    <s v="Mark Fry"/>
    <x v="1"/>
    <s v="Austin"/>
    <x v="6"/>
  </r>
  <r>
    <s v="B-26125"/>
    <n v="7690"/>
    <n v="1134"/>
    <n v="4"/>
    <x v="2"/>
    <x v="3"/>
    <x v="1"/>
    <s v="10/13/2023"/>
    <s v="Benjamin Higgins"/>
    <x v="0"/>
    <s v="Rochester"/>
    <x v="43"/>
  </r>
  <r>
    <s v="B-26743"/>
    <n v="7684"/>
    <n v="1157"/>
    <n v="12"/>
    <x v="1"/>
    <x v="4"/>
    <x v="1"/>
    <d v="2020-02-10T00:00:00"/>
    <s v="Cameron Miller"/>
    <x v="5"/>
    <s v="Chicago"/>
    <x v="19"/>
  </r>
  <r>
    <s v="B-26743"/>
    <n v="7684"/>
    <n v="1157"/>
    <n v="12"/>
    <x v="1"/>
    <x v="4"/>
    <x v="1"/>
    <s v="6/23/2020"/>
    <s v="Jacob Carpenter"/>
    <x v="0"/>
    <s v="Buffalo"/>
    <x v="5"/>
  </r>
  <r>
    <s v="B-26743"/>
    <n v="7684"/>
    <n v="1157"/>
    <n v="12"/>
    <x v="1"/>
    <x v="4"/>
    <x v="1"/>
    <s v="8/21/2023"/>
    <s v="Pamela Callahan DVM"/>
    <x v="2"/>
    <s v="Columbus"/>
    <x v="55"/>
  </r>
  <r>
    <s v="B-26805"/>
    <n v="7664"/>
    <n v="1753"/>
    <n v="19"/>
    <x v="2"/>
    <x v="11"/>
    <x v="0"/>
    <s v="6/15/2023"/>
    <s v="Heather Gray"/>
    <x v="2"/>
    <s v="Cincinnati"/>
    <x v="20"/>
  </r>
  <r>
    <s v="B-26296"/>
    <n v="7644"/>
    <n v="2428"/>
    <n v="6"/>
    <x v="2"/>
    <x v="11"/>
    <x v="0"/>
    <s v="1/20/2022"/>
    <s v="Aaron Dunn"/>
    <x v="5"/>
    <s v="Springfield"/>
    <x v="13"/>
  </r>
  <r>
    <s v="B-26987"/>
    <n v="7643"/>
    <n v="3720"/>
    <n v="19"/>
    <x v="2"/>
    <x v="3"/>
    <x v="2"/>
    <s v="7/18/2022"/>
    <s v="Lynn Matthews"/>
    <x v="1"/>
    <s v="Dallas"/>
    <x v="59"/>
  </r>
  <r>
    <s v="B-26845"/>
    <n v="7633"/>
    <n v="184"/>
    <n v="13"/>
    <x v="0"/>
    <x v="0"/>
    <x v="1"/>
    <s v="9/30/2021"/>
    <s v="Shannon Patterson"/>
    <x v="5"/>
    <s v="Springfield"/>
    <x v="58"/>
  </r>
  <r>
    <s v="B-25426"/>
    <n v="7626"/>
    <n v="1046"/>
    <n v="15"/>
    <x v="1"/>
    <x v="4"/>
    <x v="4"/>
    <d v="2020-04-05T00:00:00"/>
    <s v="Mary Taylor"/>
    <x v="3"/>
    <s v="Orlando"/>
    <x v="48"/>
  </r>
  <r>
    <s v="B-25444"/>
    <n v="7626"/>
    <n v="229"/>
    <n v="5"/>
    <x v="0"/>
    <x v="0"/>
    <x v="2"/>
    <d v="2024-11-02T00:00:00"/>
    <s v="Jessica Hunt"/>
    <x v="5"/>
    <s v="Springfield"/>
    <x v="16"/>
  </r>
  <r>
    <s v="B-25444"/>
    <n v="7626"/>
    <n v="229"/>
    <n v="5"/>
    <x v="0"/>
    <x v="0"/>
    <x v="2"/>
    <s v="11/25/2020"/>
    <s v="Tony Chavez"/>
    <x v="2"/>
    <s v="Columbus"/>
    <x v="32"/>
  </r>
  <r>
    <s v="B-25189"/>
    <n v="7620"/>
    <n v="125"/>
    <n v="4"/>
    <x v="0"/>
    <x v="7"/>
    <x v="2"/>
    <d v="2021-05-07T00:00:00"/>
    <s v="Brandi Garcia"/>
    <x v="4"/>
    <s v="San Francisco"/>
    <x v="14"/>
  </r>
  <r>
    <s v="B-25189"/>
    <n v="7620"/>
    <n v="125"/>
    <n v="4"/>
    <x v="0"/>
    <x v="7"/>
    <x v="2"/>
    <d v="2024-12-10T00:00:00"/>
    <s v="Matthew Blake"/>
    <x v="4"/>
    <s v="San Francisco"/>
    <x v="50"/>
  </r>
  <r>
    <s v="B-25238"/>
    <n v="7600"/>
    <n v="1098"/>
    <n v="10"/>
    <x v="0"/>
    <x v="0"/>
    <x v="3"/>
    <d v="2023-09-11T00:00:00"/>
    <s v="Walter Crawford"/>
    <x v="5"/>
    <s v="Springfield"/>
    <x v="37"/>
  </r>
  <r>
    <s v="B-25660"/>
    <n v="7595"/>
    <n v="2873"/>
    <n v="4"/>
    <x v="1"/>
    <x v="5"/>
    <x v="0"/>
    <s v="8/18/2020"/>
    <s v="Steven Cox"/>
    <x v="4"/>
    <s v="Los Angeles"/>
    <x v="22"/>
  </r>
  <r>
    <s v="B-25660"/>
    <n v="7595"/>
    <n v="2873"/>
    <n v="4"/>
    <x v="1"/>
    <x v="5"/>
    <x v="0"/>
    <s v="4/19/2022"/>
    <s v="Cynthia Rodriguez"/>
    <x v="0"/>
    <s v="Rochester"/>
    <x v="1"/>
  </r>
  <r>
    <s v="B-25940"/>
    <n v="7566"/>
    <n v="606"/>
    <n v="6"/>
    <x v="2"/>
    <x v="11"/>
    <x v="0"/>
    <s v="1/25/2025"/>
    <s v="Ryan Foster"/>
    <x v="2"/>
    <s v="Columbus"/>
    <x v="35"/>
  </r>
  <r>
    <s v="B-25940"/>
    <n v="7566"/>
    <n v="606"/>
    <n v="6"/>
    <x v="2"/>
    <x v="11"/>
    <x v="0"/>
    <s v="2/14/2025"/>
    <s v="David Lara"/>
    <x v="4"/>
    <s v="San Diego"/>
    <x v="21"/>
  </r>
  <r>
    <s v="B-26554"/>
    <n v="7564"/>
    <n v="3463"/>
    <n v="5"/>
    <x v="0"/>
    <x v="7"/>
    <x v="4"/>
    <s v="6/16/2024"/>
    <s v="Louis Jimenez"/>
    <x v="3"/>
    <s v="Tampa"/>
    <x v="11"/>
  </r>
  <r>
    <s v="B-26554"/>
    <n v="7564"/>
    <n v="3463"/>
    <n v="5"/>
    <x v="0"/>
    <x v="7"/>
    <x v="4"/>
    <s v="11/21/2020"/>
    <s v="Jessica Jones"/>
    <x v="5"/>
    <s v="Peoria"/>
    <x v="32"/>
  </r>
  <r>
    <s v="B-26554"/>
    <n v="7564"/>
    <n v="3463"/>
    <n v="5"/>
    <x v="0"/>
    <x v="7"/>
    <x v="4"/>
    <d v="2024-01-10T00:00:00"/>
    <s v="Renee Gomez"/>
    <x v="3"/>
    <s v="Miami"/>
    <x v="50"/>
  </r>
  <r>
    <s v="B-26554"/>
    <n v="7564"/>
    <n v="3463"/>
    <n v="5"/>
    <x v="0"/>
    <x v="7"/>
    <x v="4"/>
    <d v="2024-01-07T00:00:00"/>
    <s v="Connie Olson"/>
    <x v="1"/>
    <s v="Houston"/>
    <x v="33"/>
  </r>
  <r>
    <s v="B-25757"/>
    <n v="7560"/>
    <n v="821"/>
    <n v="4"/>
    <x v="0"/>
    <x v="7"/>
    <x v="2"/>
    <d v="2021-04-10T00:00:00"/>
    <s v="Ms. Kim Jordan"/>
    <x v="5"/>
    <s v="Chicago"/>
    <x v="0"/>
  </r>
  <r>
    <s v="B-25560"/>
    <n v="7533"/>
    <n v="3508"/>
    <n v="12"/>
    <x v="1"/>
    <x v="1"/>
    <x v="3"/>
    <s v="7/13/2023"/>
    <s v="Andrew Allen"/>
    <x v="4"/>
    <s v="San Diego"/>
    <x v="23"/>
  </r>
  <r>
    <s v="B-25843"/>
    <n v="7524"/>
    <n v="2308"/>
    <n v="15"/>
    <x v="2"/>
    <x v="10"/>
    <x v="2"/>
    <d v="2023-07-12T00:00:00"/>
    <s v="Stephanie Hayes"/>
    <x v="1"/>
    <s v="Austin"/>
    <x v="15"/>
  </r>
  <r>
    <s v="B-25400"/>
    <n v="7521"/>
    <n v="3457"/>
    <n v="16"/>
    <x v="0"/>
    <x v="2"/>
    <x v="0"/>
    <s v="3/24/2021"/>
    <s v="Maria Thomas"/>
    <x v="3"/>
    <s v="Miami"/>
    <x v="36"/>
  </r>
  <r>
    <s v="B-25400"/>
    <n v="7521"/>
    <n v="3457"/>
    <n v="16"/>
    <x v="0"/>
    <x v="2"/>
    <x v="0"/>
    <d v="2025-06-01T00:00:00"/>
    <s v="Nicholas Johnson"/>
    <x v="1"/>
    <s v="Dallas"/>
    <x v="35"/>
  </r>
  <r>
    <s v="B-25495"/>
    <n v="7519"/>
    <n v="402"/>
    <n v="14"/>
    <x v="0"/>
    <x v="7"/>
    <x v="3"/>
    <d v="2022-12-10T00:00:00"/>
    <s v="Sandra Hicks"/>
    <x v="4"/>
    <s v="San Diego"/>
    <x v="29"/>
  </r>
  <r>
    <s v="B-25238"/>
    <n v="7501"/>
    <n v="262"/>
    <n v="18"/>
    <x v="0"/>
    <x v="7"/>
    <x v="1"/>
    <d v="2023-09-11T00:00:00"/>
    <s v="Walter Crawford"/>
    <x v="5"/>
    <s v="Springfield"/>
    <x v="37"/>
  </r>
  <r>
    <s v="B-26405"/>
    <n v="7497"/>
    <n v="319"/>
    <n v="18"/>
    <x v="1"/>
    <x v="5"/>
    <x v="1"/>
    <d v="2024-12-02T00:00:00"/>
    <s v="Christopher Brooks"/>
    <x v="5"/>
    <s v="Peoria"/>
    <x v="16"/>
  </r>
  <r>
    <s v="B-25902"/>
    <n v="7493"/>
    <n v="96"/>
    <n v="3"/>
    <x v="2"/>
    <x v="3"/>
    <x v="3"/>
    <d v="2020-11-08T00:00:00"/>
    <s v="Theresa Cline"/>
    <x v="2"/>
    <s v="Cleveland"/>
    <x v="22"/>
  </r>
  <r>
    <s v="B-26159"/>
    <n v="7484"/>
    <n v="2871"/>
    <n v="15"/>
    <x v="2"/>
    <x v="11"/>
    <x v="3"/>
    <d v="2023-07-11T00:00:00"/>
    <s v="Cheyenne Rose"/>
    <x v="3"/>
    <s v="Orlando"/>
    <x v="37"/>
  </r>
  <r>
    <s v="B-26159"/>
    <n v="7484"/>
    <n v="2871"/>
    <n v="15"/>
    <x v="2"/>
    <x v="11"/>
    <x v="3"/>
    <s v="4/16/2024"/>
    <s v="Richard Petersen"/>
    <x v="5"/>
    <s v="Chicago"/>
    <x v="24"/>
  </r>
  <r>
    <s v="B-25895"/>
    <n v="7478"/>
    <n v="1381"/>
    <n v="11"/>
    <x v="2"/>
    <x v="11"/>
    <x v="2"/>
    <s v="4/16/2024"/>
    <s v="Donald Medina"/>
    <x v="1"/>
    <s v="Houston"/>
    <x v="24"/>
  </r>
  <r>
    <s v="B-26571"/>
    <n v="7472"/>
    <n v="1037"/>
    <n v="3"/>
    <x v="0"/>
    <x v="7"/>
    <x v="1"/>
    <s v="10/20/2022"/>
    <s v="Kimberly Smith"/>
    <x v="5"/>
    <s v="Springfield"/>
    <x v="29"/>
  </r>
  <r>
    <s v="B-26145"/>
    <n v="7441"/>
    <n v="867"/>
    <n v="12"/>
    <x v="1"/>
    <x v="4"/>
    <x v="1"/>
    <s v="11/20/2021"/>
    <s v="Deborah Williams"/>
    <x v="5"/>
    <s v="Chicago"/>
    <x v="28"/>
  </r>
  <r>
    <s v="B-26145"/>
    <n v="7441"/>
    <n v="867"/>
    <n v="12"/>
    <x v="1"/>
    <x v="4"/>
    <x v="1"/>
    <s v="5/13/2020"/>
    <s v="Robert Michael"/>
    <x v="1"/>
    <s v="Austin"/>
    <x v="48"/>
  </r>
  <r>
    <s v="B-26684"/>
    <n v="7434"/>
    <n v="2851"/>
    <n v="5"/>
    <x v="0"/>
    <x v="2"/>
    <x v="3"/>
    <d v="2022-12-12T00:00:00"/>
    <s v="Jesse Bond"/>
    <x v="5"/>
    <s v="Springfield"/>
    <x v="9"/>
  </r>
  <r>
    <s v="B-25112"/>
    <n v="7421"/>
    <n v="958"/>
    <n v="10"/>
    <x v="1"/>
    <x v="1"/>
    <x v="1"/>
    <s v="12/20/2022"/>
    <s v="Justin Vasquez"/>
    <x v="1"/>
    <s v="Houston"/>
    <x v="9"/>
  </r>
  <r>
    <s v="B-25112"/>
    <n v="7421"/>
    <n v="958"/>
    <n v="10"/>
    <x v="1"/>
    <x v="1"/>
    <x v="1"/>
    <s v="1/16/2022"/>
    <s v="Melissa Morales"/>
    <x v="1"/>
    <s v="Houston"/>
    <x v="13"/>
  </r>
  <r>
    <s v="B-25112"/>
    <n v="7421"/>
    <n v="958"/>
    <n v="10"/>
    <x v="1"/>
    <x v="1"/>
    <x v="1"/>
    <s v="1/29/2023"/>
    <s v="Tyler Thompson"/>
    <x v="1"/>
    <s v="Dallas"/>
    <x v="52"/>
  </r>
  <r>
    <s v="B-25794"/>
    <n v="7417"/>
    <n v="1334"/>
    <n v="16"/>
    <x v="1"/>
    <x v="6"/>
    <x v="1"/>
    <d v="2021-05-10T00:00:00"/>
    <s v="Amber Flowers"/>
    <x v="3"/>
    <s v="Tampa"/>
    <x v="0"/>
  </r>
  <r>
    <s v="B-26795"/>
    <n v="7380"/>
    <n v="1673"/>
    <n v="18"/>
    <x v="0"/>
    <x v="2"/>
    <x v="1"/>
    <s v="7/16/2023"/>
    <s v="Karen Townsend"/>
    <x v="1"/>
    <s v="Houston"/>
    <x v="23"/>
  </r>
  <r>
    <s v="B-26945"/>
    <n v="7377"/>
    <n v="320"/>
    <n v="15"/>
    <x v="2"/>
    <x v="9"/>
    <x v="0"/>
    <s v="12/21/2022"/>
    <s v="Aaron Jones"/>
    <x v="1"/>
    <s v="Austin"/>
    <x v="9"/>
  </r>
  <r>
    <s v="B-25763"/>
    <n v="7377"/>
    <n v="2049"/>
    <n v="4"/>
    <x v="0"/>
    <x v="2"/>
    <x v="3"/>
    <s v="1/18/2022"/>
    <s v="Clayton Lara"/>
    <x v="3"/>
    <s v="Miami"/>
    <x v="13"/>
  </r>
  <r>
    <s v="B-26026"/>
    <n v="7355"/>
    <n v="1034"/>
    <n v="3"/>
    <x v="1"/>
    <x v="4"/>
    <x v="1"/>
    <d v="2024-12-12T00:00:00"/>
    <s v="Kelsey Castaneda"/>
    <x v="2"/>
    <s v="Cleveland"/>
    <x v="34"/>
  </r>
  <r>
    <s v="B-26026"/>
    <n v="7355"/>
    <n v="1034"/>
    <n v="3"/>
    <x v="1"/>
    <x v="4"/>
    <x v="1"/>
    <d v="2023-06-04T00:00:00"/>
    <s v="Katherine Harris"/>
    <x v="4"/>
    <s v="Los Angeles"/>
    <x v="26"/>
  </r>
  <r>
    <s v="B-25591"/>
    <n v="7346"/>
    <n v="1043"/>
    <n v="10"/>
    <x v="1"/>
    <x v="4"/>
    <x v="4"/>
    <s v="12/25/2022"/>
    <s v="Randy Johnson"/>
    <x v="2"/>
    <s v="Columbus"/>
    <x v="9"/>
  </r>
  <r>
    <s v="B-26772"/>
    <n v="7344"/>
    <n v="2598"/>
    <n v="20"/>
    <x v="1"/>
    <x v="6"/>
    <x v="1"/>
    <d v="2022-01-08T00:00:00"/>
    <s v="Paula Marshall"/>
    <x v="1"/>
    <s v="Dallas"/>
    <x v="2"/>
  </r>
  <r>
    <s v="B-26643"/>
    <n v="7344"/>
    <n v="2251"/>
    <n v="7"/>
    <x v="2"/>
    <x v="3"/>
    <x v="0"/>
    <d v="2022-11-02T00:00:00"/>
    <s v="John Williams"/>
    <x v="3"/>
    <s v="Miami"/>
    <x v="47"/>
  </r>
  <r>
    <s v="B-26244"/>
    <n v="7340"/>
    <n v="2271"/>
    <n v="8"/>
    <x v="0"/>
    <x v="7"/>
    <x v="2"/>
    <d v="2021-05-12T00:00:00"/>
    <s v="William Welch"/>
    <x v="3"/>
    <s v="Orlando"/>
    <x v="45"/>
  </r>
  <r>
    <s v="B-26890"/>
    <n v="7333"/>
    <n v="1576"/>
    <n v="4"/>
    <x v="2"/>
    <x v="10"/>
    <x v="4"/>
    <d v="2024-07-06T00:00:00"/>
    <s v="Mr. Eric Lopez"/>
    <x v="0"/>
    <s v="Buffalo"/>
    <x v="11"/>
  </r>
  <r>
    <s v="B-25120"/>
    <n v="7327"/>
    <n v="2596"/>
    <n v="15"/>
    <x v="0"/>
    <x v="2"/>
    <x v="4"/>
    <s v="4/25/2024"/>
    <s v="James Clarke"/>
    <x v="1"/>
    <s v="Dallas"/>
    <x v="24"/>
  </r>
  <r>
    <s v="B-25120"/>
    <n v="7327"/>
    <n v="2596"/>
    <n v="15"/>
    <x v="0"/>
    <x v="2"/>
    <x v="4"/>
    <d v="2023-10-03T00:00:00"/>
    <s v="Julia Gallagher"/>
    <x v="1"/>
    <s v="Houston"/>
    <x v="7"/>
  </r>
  <r>
    <s v="B-25120"/>
    <n v="7327"/>
    <n v="2596"/>
    <n v="15"/>
    <x v="0"/>
    <x v="2"/>
    <x v="4"/>
    <d v="2023-10-07T00:00:00"/>
    <s v="Ronald Frey Jr."/>
    <x v="0"/>
    <s v="New York City"/>
    <x v="23"/>
  </r>
  <r>
    <s v="B-26643"/>
    <n v="7306"/>
    <n v="1547"/>
    <n v="3"/>
    <x v="0"/>
    <x v="7"/>
    <x v="1"/>
    <d v="2022-11-02T00:00:00"/>
    <s v="John Williams"/>
    <x v="3"/>
    <s v="Miami"/>
    <x v="47"/>
  </r>
  <r>
    <s v="B-26955"/>
    <n v="7301"/>
    <n v="3602"/>
    <n v="3"/>
    <x v="0"/>
    <x v="8"/>
    <x v="0"/>
    <d v="2024-07-04T00:00:00"/>
    <s v="Kristine Carter"/>
    <x v="1"/>
    <s v="Houston"/>
    <x v="24"/>
  </r>
  <r>
    <s v="B-26613"/>
    <n v="7273"/>
    <n v="2702"/>
    <n v="18"/>
    <x v="0"/>
    <x v="7"/>
    <x v="1"/>
    <s v="6/18/2022"/>
    <s v="Amber Moore"/>
    <x v="0"/>
    <s v="New York City"/>
    <x v="10"/>
  </r>
  <r>
    <s v="B-25706"/>
    <n v="7259"/>
    <n v="1969"/>
    <n v="10"/>
    <x v="2"/>
    <x v="10"/>
    <x v="4"/>
    <d v="2022-08-12T00:00:00"/>
    <s v="Kristen Lawson"/>
    <x v="5"/>
    <s v="Springfield"/>
    <x v="9"/>
  </r>
  <r>
    <s v="B-25856"/>
    <n v="7223"/>
    <n v="2433"/>
    <n v="12"/>
    <x v="0"/>
    <x v="8"/>
    <x v="4"/>
    <s v="2/28/2023"/>
    <s v="Monica Gibson"/>
    <x v="5"/>
    <s v="Springfield"/>
    <x v="51"/>
  </r>
  <r>
    <s v="B-26726"/>
    <n v="7213"/>
    <n v="508"/>
    <n v="19"/>
    <x v="2"/>
    <x v="3"/>
    <x v="0"/>
    <s v="8/17/2023"/>
    <s v="Brandon Hughes"/>
    <x v="1"/>
    <s v="Dallas"/>
    <x v="55"/>
  </r>
  <r>
    <s v="B-26726"/>
    <n v="7213"/>
    <n v="508"/>
    <n v="19"/>
    <x v="2"/>
    <x v="3"/>
    <x v="0"/>
    <s v="11/29/2021"/>
    <s v="Lynn Reynolds"/>
    <x v="2"/>
    <s v="Cincinnati"/>
    <x v="28"/>
  </r>
  <r>
    <s v="B-25051"/>
    <n v="7201"/>
    <n v="2685"/>
    <n v="2"/>
    <x v="1"/>
    <x v="1"/>
    <x v="4"/>
    <s v="12/30/2024"/>
    <s v="Lawrence Robinson"/>
    <x v="0"/>
    <s v="Rochester"/>
    <x v="34"/>
  </r>
  <r>
    <s v="B-25477"/>
    <n v="7195"/>
    <n v="1665"/>
    <n v="7"/>
    <x v="0"/>
    <x v="2"/>
    <x v="1"/>
    <s v="7/27/2024"/>
    <s v="Cynthia Smith"/>
    <x v="0"/>
    <s v="Rochester"/>
    <x v="33"/>
  </r>
  <r>
    <s v="B-25477"/>
    <n v="7195"/>
    <n v="1665"/>
    <n v="7"/>
    <x v="0"/>
    <x v="2"/>
    <x v="1"/>
    <d v="2022-05-07T00:00:00"/>
    <s v="Olivia Dickerson"/>
    <x v="0"/>
    <s v="Buffalo"/>
    <x v="59"/>
  </r>
  <r>
    <s v="B-25591"/>
    <n v="7179"/>
    <n v="683"/>
    <n v="13"/>
    <x v="2"/>
    <x v="10"/>
    <x v="4"/>
    <s v="12/25/2022"/>
    <s v="Randy Johnson"/>
    <x v="2"/>
    <s v="Columbus"/>
    <x v="9"/>
  </r>
  <r>
    <s v="B-25430"/>
    <n v="7169"/>
    <n v="2385"/>
    <n v="11"/>
    <x v="1"/>
    <x v="4"/>
    <x v="1"/>
    <s v="6/27/2021"/>
    <s v="Michael Rivera"/>
    <x v="4"/>
    <s v="Los Angeles"/>
    <x v="17"/>
  </r>
  <r>
    <s v="B-25612"/>
    <n v="7163"/>
    <n v="1536"/>
    <n v="1"/>
    <x v="2"/>
    <x v="11"/>
    <x v="2"/>
    <s v="10/17/2023"/>
    <s v="Carlos Wells"/>
    <x v="4"/>
    <s v="San Diego"/>
    <x v="43"/>
  </r>
  <r>
    <s v="B-25810"/>
    <n v="7144"/>
    <n v="192"/>
    <n v="13"/>
    <x v="2"/>
    <x v="3"/>
    <x v="4"/>
    <s v="11/27/2021"/>
    <s v="Kendra Mckinney"/>
    <x v="3"/>
    <s v="Miami"/>
    <x v="28"/>
  </r>
  <r>
    <s v="B-25747"/>
    <n v="7131"/>
    <n v="718"/>
    <n v="12"/>
    <x v="2"/>
    <x v="9"/>
    <x v="3"/>
    <d v="2021-12-05T00:00:00"/>
    <s v="Jessica Kidd"/>
    <x v="0"/>
    <s v="Buffalo"/>
    <x v="12"/>
  </r>
  <r>
    <s v="B-25747"/>
    <n v="7131"/>
    <n v="718"/>
    <n v="12"/>
    <x v="2"/>
    <x v="9"/>
    <x v="3"/>
    <s v="9/17/2023"/>
    <s v="Nicholas Martin"/>
    <x v="3"/>
    <s v="Tampa"/>
    <x v="6"/>
  </r>
  <r>
    <s v="B-25120"/>
    <n v="7122"/>
    <n v="1836"/>
    <n v="6"/>
    <x v="2"/>
    <x v="11"/>
    <x v="0"/>
    <s v="4/25/2024"/>
    <s v="James Clarke"/>
    <x v="1"/>
    <s v="Dallas"/>
    <x v="24"/>
  </r>
  <r>
    <s v="B-25120"/>
    <n v="7122"/>
    <n v="1836"/>
    <n v="6"/>
    <x v="2"/>
    <x v="11"/>
    <x v="0"/>
    <d v="2023-10-03T00:00:00"/>
    <s v="Julia Gallagher"/>
    <x v="1"/>
    <s v="Houston"/>
    <x v="7"/>
  </r>
  <r>
    <s v="B-25120"/>
    <n v="7122"/>
    <n v="1836"/>
    <n v="6"/>
    <x v="2"/>
    <x v="11"/>
    <x v="0"/>
    <d v="2023-10-07T00:00:00"/>
    <s v="Ronald Frey Jr."/>
    <x v="0"/>
    <s v="New York City"/>
    <x v="23"/>
  </r>
  <r>
    <s v="B-25735"/>
    <n v="7122"/>
    <n v="1982"/>
    <n v="7"/>
    <x v="0"/>
    <x v="2"/>
    <x v="2"/>
    <d v="2024-11-03T00:00:00"/>
    <s v="Bryan Baird"/>
    <x v="5"/>
    <s v="Peoria"/>
    <x v="40"/>
  </r>
  <r>
    <s v="B-26367"/>
    <n v="7105"/>
    <n v="2782"/>
    <n v="19"/>
    <x v="0"/>
    <x v="0"/>
    <x v="1"/>
    <s v="12/25/2021"/>
    <s v="Richard Gardner"/>
    <x v="2"/>
    <s v="Columbus"/>
    <x v="45"/>
  </r>
  <r>
    <s v="B-25898"/>
    <n v="7091"/>
    <n v="2317"/>
    <n v="10"/>
    <x v="1"/>
    <x v="4"/>
    <x v="4"/>
    <d v="2022-09-06T00:00:00"/>
    <s v="Monica Lee"/>
    <x v="4"/>
    <s v="San Diego"/>
    <x v="10"/>
  </r>
  <r>
    <s v="B-26543"/>
    <n v="7067"/>
    <n v="1943"/>
    <n v="16"/>
    <x v="1"/>
    <x v="1"/>
    <x v="4"/>
    <s v="3/15/2022"/>
    <s v="Nicolas Owen"/>
    <x v="4"/>
    <s v="San Francisco"/>
    <x v="3"/>
  </r>
  <r>
    <s v="B-25382"/>
    <n v="7019"/>
    <n v="2677"/>
    <n v="15"/>
    <x v="0"/>
    <x v="2"/>
    <x v="3"/>
    <s v="12/21/2020"/>
    <s v="Joshua Rojas"/>
    <x v="3"/>
    <s v="Miami"/>
    <x v="53"/>
  </r>
  <r>
    <s v="B-26516"/>
    <n v="6973"/>
    <n v="3038"/>
    <n v="10"/>
    <x v="1"/>
    <x v="1"/>
    <x v="1"/>
    <d v="2021-11-11T00:00:00"/>
    <s v="Deborah Hoffman"/>
    <x v="3"/>
    <s v="Miami"/>
    <x v="28"/>
  </r>
  <r>
    <s v="B-25990"/>
    <n v="6967"/>
    <n v="3257"/>
    <n v="17"/>
    <x v="1"/>
    <x v="6"/>
    <x v="1"/>
    <s v="12/25/2022"/>
    <s v="Mark Dixon"/>
    <x v="2"/>
    <s v="Cincinnati"/>
    <x v="9"/>
  </r>
  <r>
    <s v="B-25714"/>
    <n v="6962"/>
    <n v="3429"/>
    <n v="12"/>
    <x v="2"/>
    <x v="3"/>
    <x v="3"/>
    <s v="3/24/2024"/>
    <s v="Charles Lane"/>
    <x v="1"/>
    <s v="Dallas"/>
    <x v="40"/>
  </r>
  <r>
    <s v="B-25714"/>
    <n v="6962"/>
    <n v="3429"/>
    <n v="12"/>
    <x v="2"/>
    <x v="3"/>
    <x v="3"/>
    <s v="2/19/2025"/>
    <s v="Joyce Good MD"/>
    <x v="3"/>
    <s v="Miami"/>
    <x v="21"/>
  </r>
  <r>
    <s v="B-26972"/>
    <n v="6956"/>
    <n v="318"/>
    <n v="20"/>
    <x v="0"/>
    <x v="2"/>
    <x v="0"/>
    <s v="4/19/2022"/>
    <s v="Steven Haynes"/>
    <x v="5"/>
    <s v="Springfield"/>
    <x v="1"/>
  </r>
  <r>
    <s v="B-25258"/>
    <n v="6951"/>
    <n v="164"/>
    <n v="10"/>
    <x v="1"/>
    <x v="4"/>
    <x v="3"/>
    <d v="2021-12-08T00:00:00"/>
    <s v="Sheila Clay"/>
    <x v="0"/>
    <s v="Buffalo"/>
    <x v="30"/>
  </r>
  <r>
    <s v="B-25142"/>
    <n v="6940"/>
    <n v="253"/>
    <n v="15"/>
    <x v="1"/>
    <x v="6"/>
    <x v="0"/>
    <d v="2021-12-11T00:00:00"/>
    <s v="Marc Strickland"/>
    <x v="3"/>
    <s v="Orlando"/>
    <x v="28"/>
  </r>
  <r>
    <s v="B-25849"/>
    <n v="6934"/>
    <n v="1152"/>
    <n v="6"/>
    <x v="0"/>
    <x v="0"/>
    <x v="4"/>
    <s v="10/26/2021"/>
    <s v="William Russell"/>
    <x v="1"/>
    <s v="Austin"/>
    <x v="0"/>
  </r>
  <r>
    <s v="B-25849"/>
    <n v="6934"/>
    <n v="1152"/>
    <n v="6"/>
    <x v="0"/>
    <x v="0"/>
    <x v="4"/>
    <d v="2023-11-01T00:00:00"/>
    <s v="Sheri Berg"/>
    <x v="4"/>
    <s v="Los Angeles"/>
    <x v="52"/>
  </r>
  <r>
    <s v="B-26678"/>
    <n v="6934"/>
    <n v="1226"/>
    <n v="1"/>
    <x v="2"/>
    <x v="3"/>
    <x v="0"/>
    <d v="2021-11-06T00:00:00"/>
    <s v="Mr. Jack Mercado"/>
    <x v="2"/>
    <s v="Cincinnati"/>
    <x v="17"/>
  </r>
  <r>
    <s v="B-26678"/>
    <n v="6934"/>
    <n v="1226"/>
    <n v="1"/>
    <x v="2"/>
    <x v="3"/>
    <x v="0"/>
    <d v="2021-08-09T00:00:00"/>
    <s v="Christian Jones"/>
    <x v="0"/>
    <s v="Rochester"/>
    <x v="58"/>
  </r>
  <r>
    <s v="B-26088"/>
    <n v="6932"/>
    <n v="3218"/>
    <n v="20"/>
    <x v="0"/>
    <x v="0"/>
    <x v="1"/>
    <s v="7/16/2020"/>
    <s v="Natalie Cox"/>
    <x v="3"/>
    <s v="Orlando"/>
    <x v="31"/>
  </r>
  <r>
    <s v="B-25042"/>
    <n v="6903"/>
    <n v="105"/>
    <n v="1"/>
    <x v="1"/>
    <x v="1"/>
    <x v="1"/>
    <s v="5/31/2024"/>
    <s v="Spencer Spears"/>
    <x v="5"/>
    <s v="Chicago"/>
    <x v="44"/>
  </r>
  <r>
    <s v="B-26425"/>
    <n v="6891"/>
    <n v="2529"/>
    <n v="3"/>
    <x v="0"/>
    <x v="8"/>
    <x v="0"/>
    <d v="2024-01-05T00:00:00"/>
    <s v="William Cook"/>
    <x v="2"/>
    <s v="Cleveland"/>
    <x v="44"/>
  </r>
  <r>
    <s v="B-25843"/>
    <n v="6864"/>
    <n v="1824"/>
    <n v="14"/>
    <x v="2"/>
    <x v="9"/>
    <x v="4"/>
    <d v="2023-07-12T00:00:00"/>
    <s v="Stephanie Hayes"/>
    <x v="1"/>
    <s v="Austin"/>
    <x v="15"/>
  </r>
  <r>
    <s v="B-26557"/>
    <n v="6864"/>
    <n v="3275"/>
    <n v="11"/>
    <x v="1"/>
    <x v="1"/>
    <x v="4"/>
    <s v="5/30/2022"/>
    <s v="Katherine Williams"/>
    <x v="3"/>
    <s v="Orlando"/>
    <x v="41"/>
  </r>
  <r>
    <s v="B-25426"/>
    <n v="6851"/>
    <n v="2812"/>
    <n v="1"/>
    <x v="0"/>
    <x v="2"/>
    <x v="0"/>
    <d v="2020-04-05T00:00:00"/>
    <s v="Mary Taylor"/>
    <x v="3"/>
    <s v="Orlando"/>
    <x v="48"/>
  </r>
  <r>
    <s v="B-25801"/>
    <n v="6829"/>
    <n v="2609"/>
    <n v="2"/>
    <x v="2"/>
    <x v="10"/>
    <x v="2"/>
    <d v="2022-04-06T00:00:00"/>
    <s v="Kerri Andrews"/>
    <x v="4"/>
    <s v="San Francisco"/>
    <x v="10"/>
  </r>
  <r>
    <s v="B-25342"/>
    <n v="6823"/>
    <n v="771"/>
    <n v="6"/>
    <x v="0"/>
    <x v="8"/>
    <x v="2"/>
    <d v="2024-06-12T00:00:00"/>
    <s v="Nancy Jones"/>
    <x v="2"/>
    <s v="Cleveland"/>
    <x v="34"/>
  </r>
  <r>
    <s v="B-25295"/>
    <n v="6800"/>
    <n v="167"/>
    <n v="16"/>
    <x v="0"/>
    <x v="8"/>
    <x v="2"/>
    <s v="1/28/2024"/>
    <s v="Paul Rogers"/>
    <x v="3"/>
    <s v="Miami"/>
    <x v="54"/>
  </r>
  <r>
    <s v="B-26573"/>
    <n v="6783"/>
    <n v="3306"/>
    <n v="8"/>
    <x v="1"/>
    <x v="4"/>
    <x v="0"/>
    <s v="4/16/2020"/>
    <s v="Felicia Morton"/>
    <x v="2"/>
    <s v="Columbus"/>
    <x v="18"/>
  </r>
  <r>
    <s v="B-25517"/>
    <n v="6732"/>
    <n v="911"/>
    <n v="19"/>
    <x v="1"/>
    <x v="6"/>
    <x v="2"/>
    <s v="12/29/2021"/>
    <s v="Tamara Guzman"/>
    <x v="0"/>
    <s v="Buffalo"/>
    <x v="45"/>
  </r>
  <r>
    <s v="B-26767"/>
    <n v="6724"/>
    <n v="1539"/>
    <n v="19"/>
    <x v="1"/>
    <x v="6"/>
    <x v="1"/>
    <s v="12/13/2021"/>
    <s v="Dennis Rivera"/>
    <x v="4"/>
    <s v="San Francisco"/>
    <x v="45"/>
  </r>
  <r>
    <s v="B-26767"/>
    <n v="6724"/>
    <n v="1539"/>
    <n v="19"/>
    <x v="1"/>
    <x v="6"/>
    <x v="1"/>
    <d v="2021-03-06T00:00:00"/>
    <s v="Nancy Keller"/>
    <x v="1"/>
    <s v="Dallas"/>
    <x v="17"/>
  </r>
  <r>
    <s v="B-25325"/>
    <n v="6711"/>
    <n v="1045"/>
    <n v="12"/>
    <x v="0"/>
    <x v="0"/>
    <x v="4"/>
    <d v="2024-12-06T00:00:00"/>
    <s v="Jean Jackson"/>
    <x v="4"/>
    <s v="San Francisco"/>
    <x v="11"/>
  </r>
  <r>
    <s v="B-25596"/>
    <n v="6707"/>
    <n v="1041"/>
    <n v="20"/>
    <x v="2"/>
    <x v="11"/>
    <x v="4"/>
    <s v="9/14/2021"/>
    <s v="Steven Proctor"/>
    <x v="1"/>
    <s v="Austin"/>
    <x v="58"/>
  </r>
  <r>
    <s v="B-25953"/>
    <n v="6690"/>
    <n v="1001"/>
    <n v="19"/>
    <x v="0"/>
    <x v="8"/>
    <x v="3"/>
    <d v="2022-06-06T00:00:00"/>
    <s v="Nancy Sanchez"/>
    <x v="5"/>
    <s v="Springfield"/>
    <x v="10"/>
  </r>
  <r>
    <s v="B-25953"/>
    <n v="6690"/>
    <n v="1001"/>
    <n v="19"/>
    <x v="0"/>
    <x v="8"/>
    <x v="3"/>
    <s v="11/13/2021"/>
    <s v="Sydney Walls"/>
    <x v="5"/>
    <s v="Chicago"/>
    <x v="28"/>
  </r>
  <r>
    <s v="B-26066"/>
    <n v="6673"/>
    <n v="950"/>
    <n v="19"/>
    <x v="0"/>
    <x v="2"/>
    <x v="2"/>
    <s v="12/19/2024"/>
    <s v="Carl Wade DDS"/>
    <x v="0"/>
    <s v="Buffalo"/>
    <x v="34"/>
  </r>
  <r>
    <s v="B-26309"/>
    <n v="6672"/>
    <n v="3319"/>
    <n v="4"/>
    <x v="1"/>
    <x v="1"/>
    <x v="3"/>
    <s v="11/29/2023"/>
    <s v="Joshua Murray"/>
    <x v="1"/>
    <s v="Dallas"/>
    <x v="37"/>
  </r>
  <r>
    <s v="B-26309"/>
    <n v="6672"/>
    <n v="3319"/>
    <n v="4"/>
    <x v="1"/>
    <x v="1"/>
    <x v="3"/>
    <s v="5/20/2024"/>
    <s v="John Jones"/>
    <x v="4"/>
    <s v="San Diego"/>
    <x v="44"/>
  </r>
  <r>
    <s v="B-26165"/>
    <n v="6671"/>
    <n v="2797"/>
    <n v="10"/>
    <x v="2"/>
    <x v="11"/>
    <x v="3"/>
    <d v="2022-12-12T00:00:00"/>
    <s v="Darryl Robbins"/>
    <x v="5"/>
    <s v="Peoria"/>
    <x v="9"/>
  </r>
  <r>
    <s v="B-26796"/>
    <n v="6669"/>
    <n v="3063"/>
    <n v="19"/>
    <x v="2"/>
    <x v="9"/>
    <x v="3"/>
    <d v="2023-12-08T00:00:00"/>
    <s v="Mary Crawford"/>
    <x v="2"/>
    <s v="Cincinnati"/>
    <x v="55"/>
  </r>
  <r>
    <s v="B-25022"/>
    <n v="6646"/>
    <n v="848"/>
    <n v="15"/>
    <x v="1"/>
    <x v="4"/>
    <x v="0"/>
    <s v="8/19/2023"/>
    <s v="Nicole Dudley"/>
    <x v="0"/>
    <s v="New York City"/>
    <x v="55"/>
  </r>
  <r>
    <s v="B-25022"/>
    <n v="6646"/>
    <n v="848"/>
    <n v="15"/>
    <x v="1"/>
    <x v="4"/>
    <x v="0"/>
    <s v="7/14/2023"/>
    <s v="Lori Colon"/>
    <x v="0"/>
    <s v="Buffalo"/>
    <x v="23"/>
  </r>
  <r>
    <s v="B-25978"/>
    <n v="6622"/>
    <n v="2673"/>
    <n v="8"/>
    <x v="1"/>
    <x v="4"/>
    <x v="1"/>
    <d v="2024-10-04T00:00:00"/>
    <s v="Malik Walker"/>
    <x v="0"/>
    <s v="New York City"/>
    <x v="24"/>
  </r>
  <r>
    <s v="B-25065"/>
    <n v="6596"/>
    <n v="1439"/>
    <n v="9"/>
    <x v="0"/>
    <x v="7"/>
    <x v="0"/>
    <d v="2023-03-05T00:00:00"/>
    <s v="Craig Ortega"/>
    <x v="2"/>
    <s v="Cincinnati"/>
    <x v="38"/>
  </r>
  <r>
    <s v="B-26712"/>
    <n v="6586"/>
    <n v="1794"/>
    <n v="19"/>
    <x v="1"/>
    <x v="6"/>
    <x v="0"/>
    <d v="2021-01-12T00:00:00"/>
    <s v="Emma Bruce"/>
    <x v="1"/>
    <s v="Austin"/>
    <x v="45"/>
  </r>
  <r>
    <s v="B-26366"/>
    <n v="6584"/>
    <n v="371"/>
    <n v="6"/>
    <x v="0"/>
    <x v="2"/>
    <x v="3"/>
    <s v="8/21/2021"/>
    <s v="James Mendoza"/>
    <x v="2"/>
    <s v="Cleveland"/>
    <x v="30"/>
  </r>
  <r>
    <s v="B-26366"/>
    <n v="6584"/>
    <n v="371"/>
    <n v="6"/>
    <x v="0"/>
    <x v="2"/>
    <x v="3"/>
    <s v="5/16/2021"/>
    <s v="Kaitlin Garrison"/>
    <x v="2"/>
    <s v="Columbus"/>
    <x v="12"/>
  </r>
  <r>
    <s v="B-26612"/>
    <n v="6528"/>
    <n v="76"/>
    <n v="9"/>
    <x v="2"/>
    <x v="11"/>
    <x v="0"/>
    <d v="2020-04-05T00:00:00"/>
    <s v="Aaron Kim"/>
    <x v="0"/>
    <s v="Buffalo"/>
    <x v="48"/>
  </r>
  <r>
    <s v="B-25983"/>
    <n v="6517"/>
    <n v="1581"/>
    <n v="10"/>
    <x v="0"/>
    <x v="7"/>
    <x v="0"/>
    <s v="5/19/2024"/>
    <s v="Jeffrey Kline"/>
    <x v="3"/>
    <s v="Miami"/>
    <x v="44"/>
  </r>
  <r>
    <s v="B-25983"/>
    <n v="6517"/>
    <n v="1581"/>
    <n v="10"/>
    <x v="0"/>
    <x v="7"/>
    <x v="0"/>
    <s v="5/14/2020"/>
    <s v="Ryan Bullock"/>
    <x v="3"/>
    <s v="Tampa"/>
    <x v="48"/>
  </r>
  <r>
    <s v="B-25424"/>
    <n v="6515"/>
    <n v="961"/>
    <n v="11"/>
    <x v="1"/>
    <x v="4"/>
    <x v="0"/>
    <s v="9/15/2020"/>
    <s v="Jill Perez"/>
    <x v="4"/>
    <s v="San Diego"/>
    <x v="27"/>
  </r>
  <r>
    <s v="B-26675"/>
    <n v="6499"/>
    <n v="2189"/>
    <n v="18"/>
    <x v="2"/>
    <x v="3"/>
    <x v="2"/>
    <s v="6/15/2024"/>
    <s v="Daniel Price"/>
    <x v="0"/>
    <s v="New York City"/>
    <x v="11"/>
  </r>
  <r>
    <s v="B-26675"/>
    <n v="6499"/>
    <n v="2189"/>
    <n v="18"/>
    <x v="2"/>
    <x v="3"/>
    <x v="2"/>
    <d v="2021-03-04T00:00:00"/>
    <s v="James Perez"/>
    <x v="3"/>
    <s v="Orlando"/>
    <x v="8"/>
  </r>
  <r>
    <s v="B-26896"/>
    <n v="6488"/>
    <n v="1591"/>
    <n v="18"/>
    <x v="2"/>
    <x v="9"/>
    <x v="2"/>
    <s v="5/24/2023"/>
    <s v="Morgan Mccarthy"/>
    <x v="1"/>
    <s v="Dallas"/>
    <x v="38"/>
  </r>
  <r>
    <s v="B-26896"/>
    <n v="6488"/>
    <n v="1591"/>
    <n v="18"/>
    <x v="2"/>
    <x v="9"/>
    <x v="2"/>
    <s v="11/29/2020"/>
    <s v="Morgan Sullivan"/>
    <x v="1"/>
    <s v="Houston"/>
    <x v="32"/>
  </r>
  <r>
    <s v="B-25931"/>
    <n v="6485"/>
    <n v="3178"/>
    <n v="18"/>
    <x v="1"/>
    <x v="4"/>
    <x v="3"/>
    <s v="7/18/2023"/>
    <s v="Amanda Williams"/>
    <x v="2"/>
    <s v="Columbus"/>
    <x v="23"/>
  </r>
  <r>
    <s v="B-25157"/>
    <n v="6471"/>
    <n v="2842"/>
    <n v="18"/>
    <x v="2"/>
    <x v="3"/>
    <x v="3"/>
    <s v="7/18/2024"/>
    <s v="Lisa Graham"/>
    <x v="5"/>
    <s v="Peoria"/>
    <x v="33"/>
  </r>
  <r>
    <s v="B-26742"/>
    <n v="6459"/>
    <n v="825"/>
    <n v="8"/>
    <x v="2"/>
    <x v="11"/>
    <x v="4"/>
    <d v="2022-05-12T00:00:00"/>
    <s v="Bryan Russell"/>
    <x v="1"/>
    <s v="Dallas"/>
    <x v="9"/>
  </r>
  <r>
    <s v="B-26742"/>
    <n v="6459"/>
    <n v="825"/>
    <n v="8"/>
    <x v="2"/>
    <x v="11"/>
    <x v="4"/>
    <s v="9/17/2024"/>
    <s v="Tony Maddox"/>
    <x v="4"/>
    <s v="San Francisco"/>
    <x v="39"/>
  </r>
  <r>
    <s v="B-26119"/>
    <n v="6449"/>
    <n v="2628"/>
    <n v="11"/>
    <x v="1"/>
    <x v="6"/>
    <x v="2"/>
    <s v="9/20/2023"/>
    <s v="Jeffrey Henderson"/>
    <x v="3"/>
    <s v="Tampa"/>
    <x v="6"/>
  </r>
  <r>
    <s v="B-26119"/>
    <n v="6449"/>
    <n v="2628"/>
    <n v="11"/>
    <x v="1"/>
    <x v="6"/>
    <x v="2"/>
    <s v="12/26/2024"/>
    <s v="Michelle Hardy"/>
    <x v="1"/>
    <s v="Dallas"/>
    <x v="34"/>
  </r>
  <r>
    <s v="B-25025"/>
    <n v="6447"/>
    <n v="3079"/>
    <n v="20"/>
    <x v="2"/>
    <x v="10"/>
    <x v="1"/>
    <s v="3/25/2021"/>
    <s v="James Gutierrez"/>
    <x v="0"/>
    <s v="Rochester"/>
    <x v="36"/>
  </r>
  <r>
    <s v="B-25885"/>
    <n v="6435"/>
    <n v="334"/>
    <n v="10"/>
    <x v="2"/>
    <x v="3"/>
    <x v="0"/>
    <d v="2021-06-03T00:00:00"/>
    <s v="Dawn Howard"/>
    <x v="1"/>
    <s v="Houston"/>
    <x v="36"/>
  </r>
  <r>
    <s v="B-26842"/>
    <n v="6402"/>
    <n v="2770"/>
    <n v="19"/>
    <x v="0"/>
    <x v="2"/>
    <x v="0"/>
    <d v="2024-10-03T00:00:00"/>
    <s v="Joseph Perkins"/>
    <x v="3"/>
    <s v="Orlando"/>
    <x v="40"/>
  </r>
  <r>
    <s v="B-26842"/>
    <n v="6402"/>
    <n v="2770"/>
    <n v="19"/>
    <x v="0"/>
    <x v="2"/>
    <x v="0"/>
    <d v="2023-05-10T00:00:00"/>
    <s v="Ashley Adams MD"/>
    <x v="3"/>
    <s v="Orlando"/>
    <x v="43"/>
  </r>
  <r>
    <s v="B-25507"/>
    <n v="6392"/>
    <n v="444"/>
    <n v="18"/>
    <x v="2"/>
    <x v="3"/>
    <x v="4"/>
    <s v="11/28/2023"/>
    <s v="Debra Rodriguez"/>
    <x v="3"/>
    <s v="Tampa"/>
    <x v="37"/>
  </r>
  <r>
    <s v="B-25801"/>
    <n v="6390"/>
    <n v="3089"/>
    <n v="12"/>
    <x v="0"/>
    <x v="7"/>
    <x v="1"/>
    <d v="2022-04-06T00:00:00"/>
    <s v="Kerri Andrews"/>
    <x v="4"/>
    <s v="San Francisco"/>
    <x v="10"/>
  </r>
  <r>
    <s v="B-26116"/>
    <n v="6389"/>
    <n v="734"/>
    <n v="1"/>
    <x v="1"/>
    <x v="4"/>
    <x v="2"/>
    <s v="1/15/2022"/>
    <s v="Jeremy Jackson"/>
    <x v="1"/>
    <s v="Dallas"/>
    <x v="13"/>
  </r>
  <r>
    <s v="B-25423"/>
    <n v="6385"/>
    <n v="2656"/>
    <n v="11"/>
    <x v="2"/>
    <x v="9"/>
    <x v="4"/>
    <s v="3/18/2023"/>
    <s v="Matthew Kelley"/>
    <x v="3"/>
    <s v="Orlando"/>
    <x v="7"/>
  </r>
  <r>
    <s v="B-25423"/>
    <n v="6385"/>
    <n v="2656"/>
    <n v="11"/>
    <x v="2"/>
    <x v="9"/>
    <x v="4"/>
    <s v="10/19/2022"/>
    <s v="Candace Martinez"/>
    <x v="3"/>
    <s v="Tampa"/>
    <x v="29"/>
  </r>
  <r>
    <s v="B-26319"/>
    <n v="6381"/>
    <n v="2763"/>
    <n v="20"/>
    <x v="0"/>
    <x v="2"/>
    <x v="3"/>
    <d v="2020-02-05T00:00:00"/>
    <s v="Andrew Fernandez"/>
    <x v="2"/>
    <s v="Cincinnati"/>
    <x v="48"/>
  </r>
  <r>
    <s v="B-25894"/>
    <n v="6379"/>
    <n v="3128"/>
    <n v="15"/>
    <x v="2"/>
    <x v="3"/>
    <x v="1"/>
    <s v="3/21/2023"/>
    <s v="Tammy Bell"/>
    <x v="2"/>
    <s v="Cincinnati"/>
    <x v="7"/>
  </r>
  <r>
    <s v="B-26324"/>
    <n v="6355"/>
    <n v="1335"/>
    <n v="15"/>
    <x v="2"/>
    <x v="3"/>
    <x v="0"/>
    <s v="8/31/2023"/>
    <s v="Jacob Mann"/>
    <x v="1"/>
    <s v="Austin"/>
    <x v="55"/>
  </r>
  <r>
    <s v="B-26324"/>
    <n v="6355"/>
    <n v="1335"/>
    <n v="15"/>
    <x v="2"/>
    <x v="3"/>
    <x v="0"/>
    <d v="2021-06-06T00:00:00"/>
    <s v="Keith Reese"/>
    <x v="1"/>
    <s v="Austin"/>
    <x v="17"/>
  </r>
  <r>
    <s v="B-26312"/>
    <n v="6351"/>
    <n v="986"/>
    <n v="15"/>
    <x v="2"/>
    <x v="9"/>
    <x v="3"/>
    <s v="9/15/2021"/>
    <s v="Jonathan Alvarez"/>
    <x v="2"/>
    <s v="Columbus"/>
    <x v="58"/>
  </r>
  <r>
    <s v="B-26312"/>
    <n v="6351"/>
    <n v="986"/>
    <n v="15"/>
    <x v="2"/>
    <x v="9"/>
    <x v="3"/>
    <s v="1/28/2023"/>
    <s v="Becky Hodges"/>
    <x v="1"/>
    <s v="Houston"/>
    <x v="52"/>
  </r>
  <r>
    <s v="B-26353"/>
    <n v="6304"/>
    <n v="766"/>
    <n v="14"/>
    <x v="1"/>
    <x v="1"/>
    <x v="2"/>
    <d v="2023-03-02T00:00:00"/>
    <s v="Samuel Moore"/>
    <x v="2"/>
    <s v="Columbus"/>
    <x v="51"/>
  </r>
  <r>
    <s v="B-26353"/>
    <n v="6304"/>
    <n v="766"/>
    <n v="14"/>
    <x v="1"/>
    <x v="1"/>
    <x v="2"/>
    <s v="4/28/2023"/>
    <s v="Robert Stokes"/>
    <x v="3"/>
    <s v="Orlando"/>
    <x v="26"/>
  </r>
  <r>
    <s v="B-26353"/>
    <n v="6304"/>
    <n v="766"/>
    <n v="14"/>
    <x v="1"/>
    <x v="1"/>
    <x v="2"/>
    <s v="11/22/2024"/>
    <s v="Danielle Ramirez"/>
    <x v="4"/>
    <s v="San Francisco"/>
    <x v="46"/>
  </r>
  <r>
    <s v="B-25325"/>
    <n v="6295"/>
    <n v="2469"/>
    <n v="14"/>
    <x v="0"/>
    <x v="8"/>
    <x v="2"/>
    <d v="2024-12-06T00:00:00"/>
    <s v="Jean Jackson"/>
    <x v="4"/>
    <s v="San Francisco"/>
    <x v="11"/>
  </r>
  <r>
    <s v="B-25346"/>
    <n v="6265"/>
    <n v="155"/>
    <n v="8"/>
    <x v="1"/>
    <x v="4"/>
    <x v="1"/>
    <s v="8/23/2022"/>
    <s v="Reginald Hebert"/>
    <x v="2"/>
    <s v="Cincinnati"/>
    <x v="2"/>
  </r>
  <r>
    <s v="B-25346"/>
    <n v="6265"/>
    <n v="155"/>
    <n v="8"/>
    <x v="1"/>
    <x v="4"/>
    <x v="1"/>
    <d v="2021-12-03T00:00:00"/>
    <s v="Jeremy Vazquez"/>
    <x v="2"/>
    <s v="Cleveland"/>
    <x v="36"/>
  </r>
  <r>
    <s v="B-26988"/>
    <n v="6255"/>
    <n v="437"/>
    <n v="18"/>
    <x v="0"/>
    <x v="2"/>
    <x v="1"/>
    <d v="2021-03-12T00:00:00"/>
    <s v="Ms. Barbara Cervantes"/>
    <x v="0"/>
    <s v="Rochester"/>
    <x v="45"/>
  </r>
  <r>
    <s v="B-26114"/>
    <n v="6252"/>
    <n v="1377"/>
    <n v="2"/>
    <x v="2"/>
    <x v="9"/>
    <x v="2"/>
    <d v="2023-01-06T00:00:00"/>
    <s v="Sarah Montgomery"/>
    <x v="5"/>
    <s v="Chicago"/>
    <x v="20"/>
  </r>
  <r>
    <s v="B-25166"/>
    <n v="6248"/>
    <n v="1168"/>
    <n v="19"/>
    <x v="1"/>
    <x v="6"/>
    <x v="1"/>
    <s v="2/23/2023"/>
    <s v="Richard Castaneda"/>
    <x v="2"/>
    <s v="Cleveland"/>
    <x v="51"/>
  </r>
  <r>
    <s v="B-25166"/>
    <n v="6248"/>
    <n v="1168"/>
    <n v="19"/>
    <x v="1"/>
    <x v="6"/>
    <x v="1"/>
    <d v="2024-06-06T00:00:00"/>
    <s v="Sarah Torres"/>
    <x v="4"/>
    <s v="San Diego"/>
    <x v="11"/>
  </r>
  <r>
    <s v="B-25777"/>
    <n v="6236"/>
    <n v="2839"/>
    <n v="7"/>
    <x v="2"/>
    <x v="9"/>
    <x v="4"/>
    <s v="1/20/2022"/>
    <s v="Eric Adams"/>
    <x v="5"/>
    <s v="Springfield"/>
    <x v="13"/>
  </r>
  <r>
    <s v="B-25777"/>
    <n v="6236"/>
    <n v="2839"/>
    <n v="7"/>
    <x v="2"/>
    <x v="9"/>
    <x v="4"/>
    <d v="2022-10-05T00:00:00"/>
    <s v="Chad Brown"/>
    <x v="3"/>
    <s v="Orlando"/>
    <x v="41"/>
  </r>
  <r>
    <s v="B-26489"/>
    <n v="6223"/>
    <n v="1478"/>
    <n v="3"/>
    <x v="1"/>
    <x v="4"/>
    <x v="0"/>
    <d v="2022-08-10T00:00:00"/>
    <s v="Brett Sutton"/>
    <x v="1"/>
    <s v="Austin"/>
    <x v="29"/>
  </r>
  <r>
    <s v="B-26489"/>
    <n v="6223"/>
    <n v="1478"/>
    <n v="3"/>
    <x v="1"/>
    <x v="4"/>
    <x v="0"/>
    <s v="10/27/2023"/>
    <s v="Anna Blackburn"/>
    <x v="2"/>
    <s v="Cincinnati"/>
    <x v="43"/>
  </r>
  <r>
    <s v="B-26489"/>
    <n v="6223"/>
    <n v="1478"/>
    <n v="3"/>
    <x v="1"/>
    <x v="4"/>
    <x v="0"/>
    <d v="2021-09-02T00:00:00"/>
    <s v="Michelle Bailey"/>
    <x v="1"/>
    <s v="Dallas"/>
    <x v="42"/>
  </r>
  <r>
    <s v="B-26032"/>
    <n v="6218"/>
    <n v="1125"/>
    <n v="5"/>
    <x v="1"/>
    <x v="1"/>
    <x v="0"/>
    <s v="8/21/2020"/>
    <s v="Scott Lewis"/>
    <x v="1"/>
    <s v="Houston"/>
    <x v="22"/>
  </r>
  <r>
    <s v="B-26032"/>
    <n v="6218"/>
    <n v="1125"/>
    <n v="5"/>
    <x v="1"/>
    <x v="1"/>
    <x v="0"/>
    <s v="4/17/2023"/>
    <s v="Eric Griffith"/>
    <x v="5"/>
    <s v="Chicago"/>
    <x v="26"/>
  </r>
  <r>
    <s v="B-26032"/>
    <n v="6218"/>
    <n v="1125"/>
    <n v="5"/>
    <x v="1"/>
    <x v="1"/>
    <x v="0"/>
    <s v="12/24/2023"/>
    <s v="Anna Ferguson"/>
    <x v="4"/>
    <s v="San Francisco"/>
    <x v="15"/>
  </r>
  <r>
    <s v="B-26059"/>
    <n v="6212"/>
    <n v="1881"/>
    <n v="17"/>
    <x v="2"/>
    <x v="11"/>
    <x v="1"/>
    <s v="4/24/2022"/>
    <s v="Wesley Deleon"/>
    <x v="5"/>
    <s v="Springfield"/>
    <x v="1"/>
  </r>
  <r>
    <s v="B-26397"/>
    <n v="6200"/>
    <n v="2321"/>
    <n v="18"/>
    <x v="1"/>
    <x v="1"/>
    <x v="4"/>
    <d v="2024-11-07T00:00:00"/>
    <s v="Marcus Flores"/>
    <x v="4"/>
    <s v="Los Angeles"/>
    <x v="33"/>
  </r>
  <r>
    <s v="B-26397"/>
    <n v="6200"/>
    <n v="2321"/>
    <n v="18"/>
    <x v="1"/>
    <x v="1"/>
    <x v="4"/>
    <s v="9/21/2024"/>
    <s v="Tonya Long"/>
    <x v="3"/>
    <s v="Miami"/>
    <x v="39"/>
  </r>
  <r>
    <s v="B-26623"/>
    <n v="6195"/>
    <n v="1556"/>
    <n v="18"/>
    <x v="1"/>
    <x v="4"/>
    <x v="2"/>
    <d v="2025-01-02T00:00:00"/>
    <s v="Cindy Rowland"/>
    <x v="5"/>
    <s v="Springfield"/>
    <x v="21"/>
  </r>
  <r>
    <s v="B-25243"/>
    <n v="6187"/>
    <n v="2344"/>
    <n v="15"/>
    <x v="1"/>
    <x v="6"/>
    <x v="2"/>
    <s v="6/16/2024"/>
    <s v="Cory Evans"/>
    <x v="3"/>
    <s v="Orlando"/>
    <x v="11"/>
  </r>
  <r>
    <s v="B-25809"/>
    <n v="6184"/>
    <n v="50"/>
    <n v="14"/>
    <x v="2"/>
    <x v="3"/>
    <x v="4"/>
    <d v="2022-08-03T00:00:00"/>
    <s v="Kelly Smith"/>
    <x v="2"/>
    <s v="Cleveland"/>
    <x v="3"/>
  </r>
  <r>
    <s v="B-25809"/>
    <n v="6184"/>
    <n v="50"/>
    <n v="14"/>
    <x v="2"/>
    <x v="3"/>
    <x v="4"/>
    <d v="2022-08-12T00:00:00"/>
    <s v="Sabrina Hartman"/>
    <x v="3"/>
    <s v="Tampa"/>
    <x v="9"/>
  </r>
  <r>
    <s v="B-25071"/>
    <n v="6147"/>
    <n v="2526"/>
    <n v="6"/>
    <x v="0"/>
    <x v="0"/>
    <x v="0"/>
    <s v="3/14/2023"/>
    <s v="Hailey Chandler"/>
    <x v="1"/>
    <s v="Dallas"/>
    <x v="7"/>
  </r>
  <r>
    <s v="B-25464"/>
    <n v="6145"/>
    <n v="1414"/>
    <n v="4"/>
    <x v="1"/>
    <x v="5"/>
    <x v="1"/>
    <s v="10/23/2020"/>
    <s v="Melissa Mcknight"/>
    <x v="4"/>
    <s v="Los Angeles"/>
    <x v="19"/>
  </r>
  <r>
    <s v="B-26730"/>
    <n v="6139"/>
    <n v="451"/>
    <n v="10"/>
    <x v="1"/>
    <x v="1"/>
    <x v="0"/>
    <s v="2/26/2022"/>
    <s v="David Smith"/>
    <x v="3"/>
    <s v="Orlando"/>
    <x v="47"/>
  </r>
  <r>
    <s v="B-26730"/>
    <n v="6139"/>
    <n v="451"/>
    <n v="10"/>
    <x v="1"/>
    <x v="1"/>
    <x v="0"/>
    <d v="2021-05-04T00:00:00"/>
    <s v="Jacqueline Harris"/>
    <x v="1"/>
    <s v="Houston"/>
    <x v="8"/>
  </r>
  <r>
    <s v="B-25832"/>
    <n v="6129"/>
    <n v="2976"/>
    <n v="2"/>
    <x v="2"/>
    <x v="10"/>
    <x v="2"/>
    <s v="2/24/2025"/>
    <s v="Jennifer Arnold"/>
    <x v="0"/>
    <s v="New York City"/>
    <x v="21"/>
  </r>
  <r>
    <s v="B-25537"/>
    <n v="6123"/>
    <n v="1686"/>
    <n v="3"/>
    <x v="0"/>
    <x v="2"/>
    <x v="4"/>
    <d v="2022-06-05T00:00:00"/>
    <s v="Roger Morrison"/>
    <x v="2"/>
    <s v="Cincinnati"/>
    <x v="41"/>
  </r>
  <r>
    <s v="B-25243"/>
    <n v="6113"/>
    <n v="2508"/>
    <n v="6"/>
    <x v="2"/>
    <x v="10"/>
    <x v="3"/>
    <s v="6/16/2024"/>
    <s v="Cory Evans"/>
    <x v="3"/>
    <s v="Orlando"/>
    <x v="11"/>
  </r>
  <r>
    <s v="B-25064"/>
    <n v="6109"/>
    <n v="3040"/>
    <n v="9"/>
    <x v="1"/>
    <x v="5"/>
    <x v="2"/>
    <d v="2022-10-02T00:00:00"/>
    <s v="Kimberly Johnson"/>
    <x v="0"/>
    <s v="Buffalo"/>
    <x v="47"/>
  </r>
  <r>
    <s v="B-25064"/>
    <n v="6109"/>
    <n v="3040"/>
    <n v="9"/>
    <x v="1"/>
    <x v="5"/>
    <x v="2"/>
    <d v="2023-05-10T00:00:00"/>
    <s v="Kelly Jones"/>
    <x v="0"/>
    <s v="Rochester"/>
    <x v="43"/>
  </r>
  <r>
    <s v="B-26752"/>
    <n v="6105"/>
    <n v="1447"/>
    <n v="8"/>
    <x v="1"/>
    <x v="6"/>
    <x v="4"/>
    <d v="2022-11-08T00:00:00"/>
    <s v="Roy Miller"/>
    <x v="4"/>
    <s v="San Francisco"/>
    <x v="2"/>
  </r>
  <r>
    <s v="B-26752"/>
    <n v="6105"/>
    <n v="1447"/>
    <n v="8"/>
    <x v="1"/>
    <x v="6"/>
    <x v="4"/>
    <d v="2022-12-08T00:00:00"/>
    <s v="Christopher Espinoza"/>
    <x v="2"/>
    <s v="Columbus"/>
    <x v="2"/>
  </r>
  <r>
    <s v="B-25966"/>
    <n v="6093"/>
    <n v="3042"/>
    <n v="9"/>
    <x v="1"/>
    <x v="6"/>
    <x v="0"/>
    <s v="6/14/2021"/>
    <s v="Paul Taylor"/>
    <x v="4"/>
    <s v="San Francisco"/>
    <x v="17"/>
  </r>
  <r>
    <s v="B-25966"/>
    <n v="6093"/>
    <n v="3042"/>
    <n v="9"/>
    <x v="1"/>
    <x v="6"/>
    <x v="0"/>
    <d v="2021-01-03T00:00:00"/>
    <s v="Susan Baker"/>
    <x v="4"/>
    <s v="San Diego"/>
    <x v="36"/>
  </r>
  <r>
    <s v="B-25715"/>
    <n v="6089"/>
    <n v="139"/>
    <n v="19"/>
    <x v="1"/>
    <x v="1"/>
    <x v="0"/>
    <s v="12/31/2020"/>
    <s v="Alicia Vincent"/>
    <x v="2"/>
    <s v="Cincinnati"/>
    <x v="53"/>
  </r>
  <r>
    <s v="B-25715"/>
    <n v="6089"/>
    <n v="139"/>
    <n v="19"/>
    <x v="1"/>
    <x v="1"/>
    <x v="0"/>
    <s v="4/15/2022"/>
    <s v="Kenneth Adams"/>
    <x v="2"/>
    <s v="Cleveland"/>
    <x v="1"/>
  </r>
  <r>
    <s v="B-25715"/>
    <n v="6089"/>
    <n v="139"/>
    <n v="19"/>
    <x v="1"/>
    <x v="1"/>
    <x v="0"/>
    <d v="2023-05-04T00:00:00"/>
    <s v="Shelby Browning"/>
    <x v="5"/>
    <s v="Chicago"/>
    <x v="26"/>
  </r>
  <r>
    <s v="B-26929"/>
    <n v="6087"/>
    <n v="3043"/>
    <n v="1"/>
    <x v="1"/>
    <x v="4"/>
    <x v="1"/>
    <d v="2020-05-08T00:00:00"/>
    <s v="Kelly Roberts"/>
    <x v="0"/>
    <s v="Buffalo"/>
    <x v="22"/>
  </r>
  <r>
    <s v="B-26033"/>
    <n v="6077"/>
    <n v="2378"/>
    <n v="18"/>
    <x v="2"/>
    <x v="11"/>
    <x v="1"/>
    <s v="8/21/2022"/>
    <s v="Keith Brooks"/>
    <x v="0"/>
    <s v="New York City"/>
    <x v="2"/>
  </r>
  <r>
    <s v="B-25228"/>
    <n v="6061"/>
    <n v="2121"/>
    <n v="19"/>
    <x v="2"/>
    <x v="10"/>
    <x v="2"/>
    <s v="5/27/2021"/>
    <s v="Jodi Wood"/>
    <x v="2"/>
    <s v="Cleveland"/>
    <x v="12"/>
  </r>
  <r>
    <s v="B-25228"/>
    <n v="6061"/>
    <n v="2121"/>
    <n v="19"/>
    <x v="2"/>
    <x v="10"/>
    <x v="2"/>
    <s v="1/17/2022"/>
    <s v="Dr. Thomas Peterson"/>
    <x v="4"/>
    <s v="San Diego"/>
    <x v="13"/>
  </r>
  <r>
    <s v="B-26157"/>
    <n v="6045"/>
    <n v="1606"/>
    <n v="4"/>
    <x v="0"/>
    <x v="7"/>
    <x v="1"/>
    <s v="12/14/2023"/>
    <s v="Sierra Rios"/>
    <x v="3"/>
    <s v="Orlando"/>
    <x v="15"/>
  </r>
  <r>
    <s v="B-26839"/>
    <n v="6034"/>
    <n v="608"/>
    <n v="8"/>
    <x v="2"/>
    <x v="11"/>
    <x v="2"/>
    <d v="2022-01-05T00:00:00"/>
    <s v="Sarah Wagner"/>
    <x v="1"/>
    <s v="Houston"/>
    <x v="41"/>
  </r>
  <r>
    <s v="B-25990"/>
    <n v="6027"/>
    <n v="1530"/>
    <n v="2"/>
    <x v="0"/>
    <x v="8"/>
    <x v="4"/>
    <s v="12/25/2022"/>
    <s v="Mark Dixon"/>
    <x v="2"/>
    <s v="Cincinnati"/>
    <x v="9"/>
  </r>
  <r>
    <s v="B-25401"/>
    <n v="6017"/>
    <n v="2230"/>
    <n v="13"/>
    <x v="2"/>
    <x v="9"/>
    <x v="0"/>
    <d v="2023-04-08T00:00:00"/>
    <s v="Scott Craig"/>
    <x v="5"/>
    <s v="Peoria"/>
    <x v="55"/>
  </r>
  <r>
    <s v="B-25406"/>
    <n v="6016"/>
    <n v="431"/>
    <n v="20"/>
    <x v="0"/>
    <x v="0"/>
    <x v="3"/>
    <s v="10/28/2020"/>
    <s v="Megan Williams"/>
    <x v="5"/>
    <s v="Chicago"/>
    <x v="19"/>
  </r>
  <r>
    <s v="B-25916"/>
    <n v="6009"/>
    <n v="2107"/>
    <n v="7"/>
    <x v="2"/>
    <x v="11"/>
    <x v="3"/>
    <d v="2022-07-12T00:00:00"/>
    <s v="Christina Davis"/>
    <x v="5"/>
    <s v="Chicago"/>
    <x v="9"/>
  </r>
  <r>
    <s v="B-25916"/>
    <n v="6009"/>
    <n v="2107"/>
    <n v="7"/>
    <x v="2"/>
    <x v="11"/>
    <x v="3"/>
    <s v="4/29/2024"/>
    <s v="Claudia Curry"/>
    <x v="1"/>
    <s v="Austin"/>
    <x v="24"/>
  </r>
  <r>
    <s v="B-26757"/>
    <n v="6008"/>
    <n v="2498"/>
    <n v="17"/>
    <x v="2"/>
    <x v="11"/>
    <x v="4"/>
    <s v="7/16/2022"/>
    <s v="William Ruiz"/>
    <x v="3"/>
    <s v="Miami"/>
    <x v="59"/>
  </r>
  <r>
    <s v="B-26522"/>
    <n v="5994"/>
    <n v="2826"/>
    <n v="9"/>
    <x v="1"/>
    <x v="6"/>
    <x v="2"/>
    <s v="5/24/2023"/>
    <s v="John Thomas"/>
    <x v="4"/>
    <s v="San Francisco"/>
    <x v="38"/>
  </r>
  <r>
    <s v="B-26522"/>
    <n v="5994"/>
    <n v="2826"/>
    <n v="9"/>
    <x v="1"/>
    <x v="6"/>
    <x v="2"/>
    <d v="2024-12-03T00:00:00"/>
    <s v="Bryan Anderson"/>
    <x v="4"/>
    <s v="Los Angeles"/>
    <x v="40"/>
  </r>
  <r>
    <s v="B-26522"/>
    <n v="5994"/>
    <n v="2826"/>
    <n v="9"/>
    <x v="1"/>
    <x v="6"/>
    <x v="2"/>
    <s v="3/17/2024"/>
    <s v="Sarah Miller"/>
    <x v="0"/>
    <s v="New York City"/>
    <x v="40"/>
  </r>
  <r>
    <s v="B-26456"/>
    <n v="5954"/>
    <n v="2618"/>
    <n v="11"/>
    <x v="1"/>
    <x v="1"/>
    <x v="1"/>
    <s v="3/30/2024"/>
    <s v="Robert Mosley"/>
    <x v="2"/>
    <s v="Cincinnati"/>
    <x v="40"/>
  </r>
  <r>
    <s v="B-25944"/>
    <n v="5954"/>
    <n v="2640"/>
    <n v="14"/>
    <x v="2"/>
    <x v="10"/>
    <x v="4"/>
    <s v="8/24/2021"/>
    <s v="Angelica Lewis"/>
    <x v="0"/>
    <s v="New York City"/>
    <x v="30"/>
  </r>
  <r>
    <s v="B-25944"/>
    <n v="5954"/>
    <n v="2640"/>
    <n v="14"/>
    <x v="2"/>
    <x v="10"/>
    <x v="4"/>
    <s v="10/22/2022"/>
    <s v="Jessica Russell"/>
    <x v="1"/>
    <s v="Dallas"/>
    <x v="29"/>
  </r>
  <r>
    <s v="B-25630"/>
    <n v="5951"/>
    <n v="936"/>
    <n v="6"/>
    <x v="2"/>
    <x v="10"/>
    <x v="0"/>
    <d v="2024-07-08T00:00:00"/>
    <s v="Charles Williams"/>
    <x v="1"/>
    <s v="Dallas"/>
    <x v="57"/>
  </r>
  <r>
    <s v="B-25630"/>
    <n v="5951"/>
    <n v="936"/>
    <n v="6"/>
    <x v="2"/>
    <x v="10"/>
    <x v="0"/>
    <s v="7/26/2022"/>
    <s v="Amy Page"/>
    <x v="2"/>
    <s v="Columbus"/>
    <x v="59"/>
  </r>
  <r>
    <s v="B-26603"/>
    <n v="5944"/>
    <n v="2661"/>
    <n v="7"/>
    <x v="2"/>
    <x v="10"/>
    <x v="2"/>
    <s v="3/17/2022"/>
    <s v="Harold Mitchell"/>
    <x v="1"/>
    <s v="Austin"/>
    <x v="3"/>
  </r>
  <r>
    <s v="B-26322"/>
    <n v="5934"/>
    <n v="1563"/>
    <n v="2"/>
    <x v="0"/>
    <x v="2"/>
    <x v="2"/>
    <d v="2024-06-09T00:00:00"/>
    <s v="David Brown"/>
    <x v="5"/>
    <s v="Peoria"/>
    <x v="39"/>
  </r>
  <r>
    <s v="B-26842"/>
    <n v="5916"/>
    <n v="1594"/>
    <n v="19"/>
    <x v="2"/>
    <x v="9"/>
    <x v="0"/>
    <d v="2024-10-03T00:00:00"/>
    <s v="Joseph Perkins"/>
    <x v="3"/>
    <s v="Orlando"/>
    <x v="40"/>
  </r>
  <r>
    <s v="B-26842"/>
    <n v="5916"/>
    <n v="1594"/>
    <n v="19"/>
    <x v="2"/>
    <x v="9"/>
    <x v="0"/>
    <d v="2023-05-10T00:00:00"/>
    <s v="Ashley Adams MD"/>
    <x v="3"/>
    <s v="Orlando"/>
    <x v="43"/>
  </r>
  <r>
    <s v="B-26572"/>
    <n v="5911"/>
    <n v="2333"/>
    <n v="14"/>
    <x v="1"/>
    <x v="6"/>
    <x v="2"/>
    <s v="8/20/2022"/>
    <s v="Austin Davis"/>
    <x v="4"/>
    <s v="San Diego"/>
    <x v="2"/>
  </r>
  <r>
    <s v="B-26572"/>
    <n v="5911"/>
    <n v="2333"/>
    <n v="14"/>
    <x v="1"/>
    <x v="6"/>
    <x v="2"/>
    <s v="11/25/2024"/>
    <s v="Mark Roy"/>
    <x v="4"/>
    <s v="San Francisco"/>
    <x v="46"/>
  </r>
  <r>
    <s v="B-25443"/>
    <n v="5900"/>
    <n v="1738"/>
    <n v="20"/>
    <x v="2"/>
    <x v="11"/>
    <x v="3"/>
    <s v="8/21/2024"/>
    <s v="Kathy Wilson"/>
    <x v="1"/>
    <s v="Dallas"/>
    <x v="57"/>
  </r>
  <r>
    <s v="B-25669"/>
    <n v="5899"/>
    <n v="2264"/>
    <n v="6"/>
    <x v="0"/>
    <x v="8"/>
    <x v="2"/>
    <s v="10/20/2023"/>
    <s v="Adam Stevens"/>
    <x v="0"/>
    <s v="Buffalo"/>
    <x v="43"/>
  </r>
  <r>
    <s v="B-25916"/>
    <n v="5846"/>
    <n v="586"/>
    <n v="18"/>
    <x v="1"/>
    <x v="4"/>
    <x v="3"/>
    <d v="2022-07-12T00:00:00"/>
    <s v="Christina Davis"/>
    <x v="5"/>
    <s v="Chicago"/>
    <x v="9"/>
  </r>
  <r>
    <s v="B-25916"/>
    <n v="5846"/>
    <n v="586"/>
    <n v="18"/>
    <x v="1"/>
    <x v="4"/>
    <x v="3"/>
    <s v="4/29/2024"/>
    <s v="Claudia Curry"/>
    <x v="1"/>
    <s v="Austin"/>
    <x v="24"/>
  </r>
  <r>
    <s v="B-26643"/>
    <n v="5832"/>
    <n v="2588"/>
    <n v="10"/>
    <x v="2"/>
    <x v="9"/>
    <x v="1"/>
    <d v="2022-11-02T00:00:00"/>
    <s v="John Williams"/>
    <x v="3"/>
    <s v="Miami"/>
    <x v="47"/>
  </r>
  <r>
    <s v="B-25006"/>
    <n v="5831"/>
    <n v="1574"/>
    <n v="17"/>
    <x v="0"/>
    <x v="0"/>
    <x v="0"/>
    <s v="11/16/2022"/>
    <s v="Jeffrey Johnson III"/>
    <x v="4"/>
    <s v="San Francisco"/>
    <x v="56"/>
  </r>
  <r>
    <s v="B-25006"/>
    <n v="5831"/>
    <n v="1574"/>
    <n v="17"/>
    <x v="0"/>
    <x v="0"/>
    <x v="0"/>
    <s v="7/18/2024"/>
    <s v="Daniel Dixon"/>
    <x v="4"/>
    <s v="San Diego"/>
    <x v="33"/>
  </r>
  <r>
    <s v="B-25006"/>
    <n v="5831"/>
    <n v="1574"/>
    <n v="17"/>
    <x v="0"/>
    <x v="0"/>
    <x v="0"/>
    <s v="7/16/2023"/>
    <s v="Tiffany Robinson"/>
    <x v="3"/>
    <s v="Miami"/>
    <x v="23"/>
  </r>
  <r>
    <s v="B-25372"/>
    <n v="5768"/>
    <n v="2059"/>
    <n v="14"/>
    <x v="1"/>
    <x v="1"/>
    <x v="3"/>
    <s v="11/16/2020"/>
    <s v="Heather Jenkins"/>
    <x v="0"/>
    <s v="Buffalo"/>
    <x v="32"/>
  </r>
  <r>
    <s v="B-25462"/>
    <n v="5730"/>
    <n v="482"/>
    <n v="6"/>
    <x v="2"/>
    <x v="10"/>
    <x v="1"/>
    <s v="8/21/2024"/>
    <s v="Randy Acosta"/>
    <x v="3"/>
    <s v="Tampa"/>
    <x v="57"/>
  </r>
  <r>
    <s v="B-26144"/>
    <n v="5714"/>
    <n v="1438"/>
    <n v="6"/>
    <x v="2"/>
    <x v="3"/>
    <x v="4"/>
    <s v="8/23/2024"/>
    <s v="Andrew Griffin"/>
    <x v="5"/>
    <s v="Chicago"/>
    <x v="57"/>
  </r>
  <r>
    <s v="B-26464"/>
    <n v="5704"/>
    <n v="714"/>
    <n v="13"/>
    <x v="2"/>
    <x v="10"/>
    <x v="2"/>
    <d v="2022-03-02T00:00:00"/>
    <s v="Zachary Perez"/>
    <x v="1"/>
    <s v="Austin"/>
    <x v="47"/>
  </r>
  <r>
    <s v="B-26464"/>
    <n v="5704"/>
    <n v="714"/>
    <n v="13"/>
    <x v="2"/>
    <x v="10"/>
    <x v="2"/>
    <d v="2021-12-12T00:00:00"/>
    <s v="Brian Green"/>
    <x v="4"/>
    <s v="San Diego"/>
    <x v="45"/>
  </r>
  <r>
    <s v="B-25976"/>
    <n v="5694"/>
    <n v="1134"/>
    <n v="5"/>
    <x v="1"/>
    <x v="5"/>
    <x v="2"/>
    <s v="3/15/2024"/>
    <s v="Martha Carney"/>
    <x v="0"/>
    <s v="New York City"/>
    <x v="40"/>
  </r>
  <r>
    <s v="B-25976"/>
    <n v="5694"/>
    <n v="1134"/>
    <n v="5"/>
    <x v="1"/>
    <x v="5"/>
    <x v="2"/>
    <d v="2020-10-11T00:00:00"/>
    <s v="Francisco Hicks"/>
    <x v="5"/>
    <s v="Springfield"/>
    <x v="32"/>
  </r>
  <r>
    <s v="B-25701"/>
    <n v="5680"/>
    <n v="2159"/>
    <n v="19"/>
    <x v="1"/>
    <x v="1"/>
    <x v="3"/>
    <s v="9/13/2023"/>
    <s v="Suzanne Cross"/>
    <x v="1"/>
    <s v="Austin"/>
    <x v="6"/>
  </r>
  <r>
    <s v="B-25454"/>
    <n v="5666"/>
    <n v="2733"/>
    <n v="17"/>
    <x v="2"/>
    <x v="3"/>
    <x v="4"/>
    <s v="1/27/2025"/>
    <s v="Vanessa Deleon"/>
    <x v="3"/>
    <s v="Tampa"/>
    <x v="35"/>
  </r>
  <r>
    <s v="B-25424"/>
    <n v="5635"/>
    <n v="318"/>
    <n v="17"/>
    <x v="0"/>
    <x v="8"/>
    <x v="3"/>
    <s v="9/15/2020"/>
    <s v="Jill Perez"/>
    <x v="4"/>
    <s v="San Diego"/>
    <x v="27"/>
  </r>
  <r>
    <s v="B-25456"/>
    <n v="5632"/>
    <n v="2358"/>
    <n v="20"/>
    <x v="1"/>
    <x v="4"/>
    <x v="4"/>
    <d v="2021-03-05T00:00:00"/>
    <s v="Alexis Duffy"/>
    <x v="4"/>
    <s v="Los Angeles"/>
    <x v="12"/>
  </r>
  <r>
    <s v="B-25456"/>
    <n v="5632"/>
    <n v="2358"/>
    <n v="20"/>
    <x v="1"/>
    <x v="4"/>
    <x v="4"/>
    <d v="2024-11-02T00:00:00"/>
    <s v="Stephanie Sanchez"/>
    <x v="3"/>
    <s v="Miami"/>
    <x v="16"/>
  </r>
  <r>
    <s v="B-25456"/>
    <n v="5632"/>
    <n v="2358"/>
    <n v="20"/>
    <x v="1"/>
    <x v="4"/>
    <x v="4"/>
    <d v="2025-04-02T00:00:00"/>
    <s v="Reginald Espinoza"/>
    <x v="2"/>
    <s v="Cleveland"/>
    <x v="21"/>
  </r>
  <r>
    <s v="B-25032"/>
    <n v="5591"/>
    <n v="1696"/>
    <n v="3"/>
    <x v="0"/>
    <x v="0"/>
    <x v="1"/>
    <d v="2024-06-08T00:00:00"/>
    <s v="Denise Hampton"/>
    <x v="4"/>
    <s v="San Francisco"/>
    <x v="57"/>
  </r>
  <r>
    <s v="B-25326"/>
    <n v="5578"/>
    <n v="277"/>
    <n v="16"/>
    <x v="1"/>
    <x v="1"/>
    <x v="1"/>
    <s v="8/17/2021"/>
    <s v="Charlene Brown"/>
    <x v="3"/>
    <s v="Miami"/>
    <x v="30"/>
  </r>
  <r>
    <s v="B-25326"/>
    <n v="5578"/>
    <n v="277"/>
    <n v="16"/>
    <x v="1"/>
    <x v="1"/>
    <x v="1"/>
    <s v="5/16/2022"/>
    <s v="Charles Smith"/>
    <x v="2"/>
    <s v="Columbus"/>
    <x v="41"/>
  </r>
  <r>
    <s v="B-26224"/>
    <n v="5564"/>
    <n v="175"/>
    <n v="11"/>
    <x v="2"/>
    <x v="10"/>
    <x v="1"/>
    <s v="1/22/2023"/>
    <s v="Mitchell Lester"/>
    <x v="5"/>
    <s v="Chicago"/>
    <x v="52"/>
  </r>
  <r>
    <s v="B-26224"/>
    <n v="5564"/>
    <n v="175"/>
    <n v="11"/>
    <x v="2"/>
    <x v="10"/>
    <x v="1"/>
    <d v="2022-12-04T00:00:00"/>
    <s v="Mr. John Tyler PhD"/>
    <x v="1"/>
    <s v="Houston"/>
    <x v="1"/>
  </r>
  <r>
    <s v="B-26224"/>
    <n v="5564"/>
    <n v="175"/>
    <n v="11"/>
    <x v="2"/>
    <x v="10"/>
    <x v="1"/>
    <s v="12/13/2023"/>
    <s v="Juan Kelly"/>
    <x v="3"/>
    <s v="Miami"/>
    <x v="15"/>
  </r>
  <r>
    <s v="B-25870"/>
    <n v="5557"/>
    <n v="2114"/>
    <n v="17"/>
    <x v="2"/>
    <x v="10"/>
    <x v="2"/>
    <s v="5/28/2021"/>
    <s v="Angela Roberts"/>
    <x v="2"/>
    <s v="Cleveland"/>
    <x v="12"/>
  </r>
  <r>
    <s v="B-25236"/>
    <n v="5518"/>
    <n v="867"/>
    <n v="7"/>
    <x v="1"/>
    <x v="4"/>
    <x v="3"/>
    <s v="12/22/2022"/>
    <s v="Vanessa Smith"/>
    <x v="1"/>
    <s v="Houston"/>
    <x v="9"/>
  </r>
  <r>
    <s v="B-25441"/>
    <n v="5470"/>
    <n v="292"/>
    <n v="7"/>
    <x v="0"/>
    <x v="0"/>
    <x v="0"/>
    <s v="6/24/2022"/>
    <s v="Jeffrey Weber"/>
    <x v="0"/>
    <s v="Buffalo"/>
    <x v="10"/>
  </r>
  <r>
    <s v="B-25441"/>
    <n v="5470"/>
    <n v="292"/>
    <n v="7"/>
    <x v="0"/>
    <x v="0"/>
    <x v="0"/>
    <d v="2024-08-06T00:00:00"/>
    <s v="Andrew Krueger"/>
    <x v="0"/>
    <s v="Rochester"/>
    <x v="11"/>
  </r>
  <r>
    <s v="B-25316"/>
    <n v="5462"/>
    <n v="673"/>
    <n v="12"/>
    <x v="2"/>
    <x v="9"/>
    <x v="0"/>
    <d v="2022-03-11T00:00:00"/>
    <s v="John Thompson"/>
    <x v="1"/>
    <s v="Austin"/>
    <x v="56"/>
  </r>
  <r>
    <s v="B-26750"/>
    <n v="5461"/>
    <n v="1214"/>
    <n v="7"/>
    <x v="1"/>
    <x v="4"/>
    <x v="4"/>
    <d v="2020-07-06T00:00:00"/>
    <s v="Paul Zimmerman"/>
    <x v="0"/>
    <s v="Rochester"/>
    <x v="5"/>
  </r>
  <r>
    <s v="B-26257"/>
    <n v="5460"/>
    <n v="2088"/>
    <n v="14"/>
    <x v="1"/>
    <x v="1"/>
    <x v="0"/>
    <s v="7/13/2022"/>
    <s v="Elizabeth Coffey"/>
    <x v="0"/>
    <s v="Buffalo"/>
    <x v="59"/>
  </r>
  <r>
    <s v="B-26257"/>
    <n v="5460"/>
    <n v="2088"/>
    <n v="14"/>
    <x v="1"/>
    <x v="1"/>
    <x v="0"/>
    <s v="4/19/2020"/>
    <s v="Joseph Clark"/>
    <x v="2"/>
    <s v="Cincinnati"/>
    <x v="18"/>
  </r>
  <r>
    <s v="B-26466"/>
    <n v="5457"/>
    <n v="1765"/>
    <n v="7"/>
    <x v="2"/>
    <x v="9"/>
    <x v="2"/>
    <s v="10/17/2024"/>
    <s v="Karina Barr"/>
    <x v="1"/>
    <s v="Dallas"/>
    <x v="50"/>
  </r>
  <r>
    <s v="B-26325"/>
    <n v="5449"/>
    <n v="2389"/>
    <n v="2"/>
    <x v="2"/>
    <x v="11"/>
    <x v="3"/>
    <d v="2022-06-10T00:00:00"/>
    <s v="James Benitez"/>
    <x v="3"/>
    <s v="Miami"/>
    <x v="29"/>
  </r>
  <r>
    <s v="B-25283"/>
    <n v="5448"/>
    <n v="2204"/>
    <n v="5"/>
    <x v="1"/>
    <x v="4"/>
    <x v="1"/>
    <d v="2022-09-08T00:00:00"/>
    <s v="Luis Warner"/>
    <x v="0"/>
    <s v="New York City"/>
    <x v="2"/>
  </r>
  <r>
    <s v="B-26244"/>
    <n v="5442"/>
    <n v="1610"/>
    <n v="1"/>
    <x v="2"/>
    <x v="11"/>
    <x v="2"/>
    <d v="2021-05-12T00:00:00"/>
    <s v="William Welch"/>
    <x v="3"/>
    <s v="Orlando"/>
    <x v="45"/>
  </r>
  <r>
    <s v="B-26835"/>
    <n v="5427"/>
    <n v="728"/>
    <n v="3"/>
    <x v="2"/>
    <x v="11"/>
    <x v="3"/>
    <d v="2023-09-03T00:00:00"/>
    <s v="Keith Smith"/>
    <x v="3"/>
    <s v="Miami"/>
    <x v="7"/>
  </r>
  <r>
    <s v="B-25329"/>
    <n v="5412"/>
    <n v="1192"/>
    <n v="18"/>
    <x v="1"/>
    <x v="1"/>
    <x v="4"/>
    <s v="2/28/2024"/>
    <s v="Stephanie Flores"/>
    <x v="4"/>
    <s v="San Diego"/>
    <x v="16"/>
  </r>
  <r>
    <s v="B-25329"/>
    <n v="5412"/>
    <n v="1192"/>
    <n v="18"/>
    <x v="1"/>
    <x v="1"/>
    <x v="4"/>
    <d v="2025-03-01T00:00:00"/>
    <s v="Gregory English"/>
    <x v="4"/>
    <s v="Los Angeles"/>
    <x v="35"/>
  </r>
  <r>
    <s v="B-25383"/>
    <n v="5410"/>
    <n v="2456"/>
    <n v="8"/>
    <x v="1"/>
    <x v="5"/>
    <x v="4"/>
    <s v="5/29/2024"/>
    <s v="Kayla Becker"/>
    <x v="4"/>
    <s v="Los Angeles"/>
    <x v="44"/>
  </r>
  <r>
    <s v="B-25383"/>
    <n v="5410"/>
    <n v="2456"/>
    <n v="8"/>
    <x v="1"/>
    <x v="5"/>
    <x v="4"/>
    <d v="2022-04-01T00:00:00"/>
    <s v="Ashley Freeman"/>
    <x v="3"/>
    <s v="Tampa"/>
    <x v="13"/>
  </r>
  <r>
    <s v="B-26820"/>
    <n v="5402"/>
    <n v="1666"/>
    <n v="12"/>
    <x v="1"/>
    <x v="6"/>
    <x v="2"/>
    <s v="2/26/2025"/>
    <s v="Kimberly Beard"/>
    <x v="2"/>
    <s v="Cleveland"/>
    <x v="21"/>
  </r>
  <r>
    <s v="B-25897"/>
    <n v="5393"/>
    <n v="2642"/>
    <n v="8"/>
    <x v="1"/>
    <x v="5"/>
    <x v="3"/>
    <d v="2021-07-03T00:00:00"/>
    <s v="Jessica Blankenship"/>
    <x v="2"/>
    <s v="Cincinnati"/>
    <x v="36"/>
  </r>
  <r>
    <s v="B-25266"/>
    <n v="5389"/>
    <n v="2196"/>
    <n v="5"/>
    <x v="1"/>
    <x v="1"/>
    <x v="3"/>
    <d v="2023-04-12T00:00:00"/>
    <s v="Lori Adkins"/>
    <x v="4"/>
    <s v="San Diego"/>
    <x v="15"/>
  </r>
  <r>
    <s v="B-26017"/>
    <n v="5379"/>
    <n v="2510"/>
    <n v="17"/>
    <x v="2"/>
    <x v="9"/>
    <x v="1"/>
    <s v="4/16/2022"/>
    <s v="Jason Martinez"/>
    <x v="2"/>
    <s v="Columbus"/>
    <x v="1"/>
  </r>
  <r>
    <s v="B-26457"/>
    <n v="5376"/>
    <n v="1928"/>
    <n v="7"/>
    <x v="1"/>
    <x v="1"/>
    <x v="4"/>
    <s v="1/15/2025"/>
    <s v="Mario Hall"/>
    <x v="0"/>
    <s v="New York City"/>
    <x v="35"/>
  </r>
  <r>
    <s v="B-25768"/>
    <n v="5354"/>
    <n v="743"/>
    <n v="10"/>
    <x v="1"/>
    <x v="6"/>
    <x v="3"/>
    <s v="10/19/2021"/>
    <s v="Ricardo Dixon"/>
    <x v="5"/>
    <s v="Springfield"/>
    <x v="0"/>
  </r>
  <r>
    <s v="B-25662"/>
    <n v="5346"/>
    <n v="1246"/>
    <n v="17"/>
    <x v="1"/>
    <x v="4"/>
    <x v="2"/>
    <s v="7/25/2022"/>
    <s v="Eric Mason"/>
    <x v="3"/>
    <s v="Orlando"/>
    <x v="59"/>
  </r>
  <r>
    <s v="B-25662"/>
    <n v="5346"/>
    <n v="1246"/>
    <n v="17"/>
    <x v="1"/>
    <x v="4"/>
    <x v="2"/>
    <d v="2022-07-05T00:00:00"/>
    <s v="Lisa Lowe"/>
    <x v="3"/>
    <s v="Miami"/>
    <x v="41"/>
  </r>
  <r>
    <s v="B-26288"/>
    <n v="5344"/>
    <n v="2607"/>
    <n v="6"/>
    <x v="0"/>
    <x v="7"/>
    <x v="0"/>
    <s v="4/23/2022"/>
    <s v="James Murray"/>
    <x v="1"/>
    <s v="Dallas"/>
    <x v="1"/>
  </r>
  <r>
    <s v="B-26288"/>
    <n v="5344"/>
    <n v="2607"/>
    <n v="6"/>
    <x v="0"/>
    <x v="7"/>
    <x v="0"/>
    <s v="2/18/2025"/>
    <s v="Mr. Nathaniel Reeves"/>
    <x v="0"/>
    <s v="Rochester"/>
    <x v="21"/>
  </r>
  <r>
    <s v="B-26167"/>
    <n v="5343"/>
    <n v="655"/>
    <n v="1"/>
    <x v="1"/>
    <x v="5"/>
    <x v="2"/>
    <s v="4/13/2024"/>
    <s v="Shane Clark"/>
    <x v="4"/>
    <s v="San Diego"/>
    <x v="24"/>
  </r>
  <r>
    <s v="B-25159"/>
    <n v="5338"/>
    <n v="1354"/>
    <n v="16"/>
    <x v="0"/>
    <x v="2"/>
    <x v="3"/>
    <d v="2024-01-08T00:00:00"/>
    <s v="Cassandra Jordan"/>
    <x v="5"/>
    <s v="Peoria"/>
    <x v="57"/>
  </r>
  <r>
    <s v="B-25159"/>
    <n v="5338"/>
    <n v="1354"/>
    <n v="16"/>
    <x v="0"/>
    <x v="2"/>
    <x v="3"/>
    <d v="2023-07-06T00:00:00"/>
    <s v="Evelyn Harris"/>
    <x v="0"/>
    <s v="Buffalo"/>
    <x v="20"/>
  </r>
  <r>
    <s v="B-25159"/>
    <n v="5338"/>
    <n v="1354"/>
    <n v="16"/>
    <x v="0"/>
    <x v="2"/>
    <x v="3"/>
    <s v="10/21/2024"/>
    <s v="Shannon Maynard"/>
    <x v="3"/>
    <s v="Orlando"/>
    <x v="50"/>
  </r>
  <r>
    <s v="B-25159"/>
    <n v="5338"/>
    <n v="1354"/>
    <n v="16"/>
    <x v="0"/>
    <x v="2"/>
    <x v="3"/>
    <d v="2021-04-01T00:00:00"/>
    <s v="Marie James"/>
    <x v="0"/>
    <s v="Buffalo"/>
    <x v="60"/>
  </r>
  <r>
    <s v="B-25780"/>
    <n v="5335"/>
    <n v="322"/>
    <n v="15"/>
    <x v="2"/>
    <x v="3"/>
    <x v="1"/>
    <s v="5/15/2022"/>
    <s v="Jessica Greene"/>
    <x v="0"/>
    <s v="New York City"/>
    <x v="41"/>
  </r>
  <r>
    <s v="B-26365"/>
    <n v="5323"/>
    <n v="322"/>
    <n v="13"/>
    <x v="0"/>
    <x v="8"/>
    <x v="1"/>
    <d v="2024-05-07T00:00:00"/>
    <s v="Mr. Curtis Bailey"/>
    <x v="3"/>
    <s v="Tampa"/>
    <x v="33"/>
  </r>
  <r>
    <s v="B-26723"/>
    <n v="5322"/>
    <n v="1423"/>
    <n v="18"/>
    <x v="1"/>
    <x v="4"/>
    <x v="1"/>
    <d v="2022-08-12T00:00:00"/>
    <s v="James Dickerson"/>
    <x v="1"/>
    <s v="Houston"/>
    <x v="9"/>
  </r>
  <r>
    <s v="B-26723"/>
    <n v="5322"/>
    <n v="1423"/>
    <n v="18"/>
    <x v="1"/>
    <x v="4"/>
    <x v="1"/>
    <d v="2023-09-12T00:00:00"/>
    <s v="James Jones"/>
    <x v="1"/>
    <s v="Dallas"/>
    <x v="15"/>
  </r>
  <r>
    <s v="B-26353"/>
    <n v="5317"/>
    <n v="1345"/>
    <n v="18"/>
    <x v="1"/>
    <x v="5"/>
    <x v="0"/>
    <d v="2023-03-02T00:00:00"/>
    <s v="Samuel Moore"/>
    <x v="2"/>
    <s v="Columbus"/>
    <x v="51"/>
  </r>
  <r>
    <s v="B-26353"/>
    <n v="5317"/>
    <n v="1345"/>
    <n v="18"/>
    <x v="1"/>
    <x v="5"/>
    <x v="0"/>
    <s v="4/28/2023"/>
    <s v="Robert Stokes"/>
    <x v="3"/>
    <s v="Orlando"/>
    <x v="26"/>
  </r>
  <r>
    <s v="B-26353"/>
    <n v="5317"/>
    <n v="1345"/>
    <n v="18"/>
    <x v="1"/>
    <x v="5"/>
    <x v="0"/>
    <s v="11/22/2024"/>
    <s v="Danielle Ramirez"/>
    <x v="4"/>
    <s v="San Francisco"/>
    <x v="46"/>
  </r>
  <r>
    <s v="B-25574"/>
    <n v="5313"/>
    <n v="2037"/>
    <n v="7"/>
    <x v="2"/>
    <x v="9"/>
    <x v="0"/>
    <s v="11/25/2024"/>
    <s v="Jason Hernandez"/>
    <x v="4"/>
    <s v="San Francisco"/>
    <x v="46"/>
  </r>
  <r>
    <s v="B-25574"/>
    <n v="5313"/>
    <n v="2037"/>
    <n v="7"/>
    <x v="2"/>
    <x v="9"/>
    <x v="0"/>
    <s v="10/29/2021"/>
    <s v="Jacob Torres"/>
    <x v="1"/>
    <s v="Houston"/>
    <x v="0"/>
  </r>
  <r>
    <s v="B-25673"/>
    <n v="5306"/>
    <n v="2405"/>
    <n v="17"/>
    <x v="1"/>
    <x v="1"/>
    <x v="2"/>
    <s v="3/23/2024"/>
    <s v="Kimberly Fuller"/>
    <x v="0"/>
    <s v="Buffalo"/>
    <x v="40"/>
  </r>
  <r>
    <s v="B-26496"/>
    <n v="5301"/>
    <n v="817"/>
    <n v="10"/>
    <x v="1"/>
    <x v="1"/>
    <x v="0"/>
    <d v="2024-09-07T00:00:00"/>
    <s v="Daniel Mosley"/>
    <x v="4"/>
    <s v="Los Angeles"/>
    <x v="33"/>
  </r>
  <r>
    <s v="B-25925"/>
    <n v="5266"/>
    <n v="1111"/>
    <n v="13"/>
    <x v="2"/>
    <x v="3"/>
    <x v="0"/>
    <d v="2022-11-01T00:00:00"/>
    <s v="Ronald Mckinney"/>
    <x v="1"/>
    <s v="Austin"/>
    <x v="13"/>
  </r>
  <r>
    <s v="B-25925"/>
    <n v="5266"/>
    <n v="1111"/>
    <n v="13"/>
    <x v="2"/>
    <x v="3"/>
    <x v="0"/>
    <s v="2/17/2021"/>
    <s v="James Hart"/>
    <x v="5"/>
    <s v="Chicago"/>
    <x v="42"/>
  </r>
  <r>
    <s v="B-25855"/>
    <n v="5263"/>
    <n v="1743"/>
    <n v="19"/>
    <x v="1"/>
    <x v="4"/>
    <x v="4"/>
    <s v="8/28/2022"/>
    <s v="Kelsey Huber"/>
    <x v="3"/>
    <s v="Miami"/>
    <x v="2"/>
  </r>
  <r>
    <s v="B-25237"/>
    <n v="5250"/>
    <n v="187"/>
    <n v="1"/>
    <x v="0"/>
    <x v="8"/>
    <x v="1"/>
    <s v="3/17/2022"/>
    <s v="Jim Johnson"/>
    <x v="2"/>
    <s v="Cincinnati"/>
    <x v="3"/>
  </r>
  <r>
    <s v="B-25237"/>
    <n v="5250"/>
    <n v="187"/>
    <n v="1"/>
    <x v="0"/>
    <x v="8"/>
    <x v="1"/>
    <s v="5/14/2023"/>
    <s v="David Hamilton"/>
    <x v="1"/>
    <s v="Houston"/>
    <x v="38"/>
  </r>
  <r>
    <s v="B-25620"/>
    <n v="5234"/>
    <n v="2021"/>
    <n v="15"/>
    <x v="1"/>
    <x v="6"/>
    <x v="2"/>
    <s v="10/18/2023"/>
    <s v="Benjamin Meadows"/>
    <x v="5"/>
    <s v="Peoria"/>
    <x v="43"/>
  </r>
  <r>
    <s v="B-25620"/>
    <n v="5234"/>
    <n v="2021"/>
    <n v="15"/>
    <x v="1"/>
    <x v="6"/>
    <x v="2"/>
    <s v="6/13/2022"/>
    <s v="Micheal Graham"/>
    <x v="0"/>
    <s v="Buffalo"/>
    <x v="10"/>
  </r>
  <r>
    <s v="B-26795"/>
    <n v="5224"/>
    <n v="1958"/>
    <n v="16"/>
    <x v="1"/>
    <x v="5"/>
    <x v="4"/>
    <s v="7/16/2023"/>
    <s v="Karen Townsend"/>
    <x v="1"/>
    <s v="Houston"/>
    <x v="23"/>
  </r>
  <r>
    <s v="B-26232"/>
    <n v="5219"/>
    <n v="1180"/>
    <n v="20"/>
    <x v="0"/>
    <x v="8"/>
    <x v="1"/>
    <s v="12/17/2021"/>
    <s v="Alexander Reed"/>
    <x v="0"/>
    <s v="New York City"/>
    <x v="45"/>
  </r>
  <r>
    <s v="B-26232"/>
    <n v="5219"/>
    <n v="1180"/>
    <n v="20"/>
    <x v="0"/>
    <x v="8"/>
    <x v="1"/>
    <d v="2023-03-02T00:00:00"/>
    <s v="Jacqueline Harris"/>
    <x v="4"/>
    <s v="San Francisco"/>
    <x v="51"/>
  </r>
  <r>
    <s v="B-25901"/>
    <n v="5210"/>
    <n v="1185"/>
    <n v="7"/>
    <x v="0"/>
    <x v="7"/>
    <x v="3"/>
    <s v="10/20/2020"/>
    <s v="Jeffrey Middleton"/>
    <x v="0"/>
    <s v="Buffalo"/>
    <x v="19"/>
  </r>
  <r>
    <s v="B-25901"/>
    <n v="5210"/>
    <n v="1185"/>
    <n v="7"/>
    <x v="0"/>
    <x v="7"/>
    <x v="3"/>
    <d v="2022-11-08T00:00:00"/>
    <s v="Veronica Kelley"/>
    <x v="3"/>
    <s v="Orlando"/>
    <x v="2"/>
  </r>
  <r>
    <s v="B-25901"/>
    <n v="5210"/>
    <n v="1185"/>
    <n v="7"/>
    <x v="0"/>
    <x v="7"/>
    <x v="3"/>
    <s v="10/17/2021"/>
    <s v="Leslie Bean"/>
    <x v="5"/>
    <s v="Springfield"/>
    <x v="0"/>
  </r>
  <r>
    <s v="B-26712"/>
    <n v="5196"/>
    <n v="2477"/>
    <n v="1"/>
    <x v="0"/>
    <x v="2"/>
    <x v="3"/>
    <d v="2021-01-12T00:00:00"/>
    <s v="Emma Bruce"/>
    <x v="1"/>
    <s v="Austin"/>
    <x v="45"/>
  </r>
  <r>
    <s v="B-26961"/>
    <n v="5193"/>
    <n v="2530"/>
    <n v="5"/>
    <x v="1"/>
    <x v="4"/>
    <x v="0"/>
    <s v="10/29/2021"/>
    <s v="Johnny Hill"/>
    <x v="4"/>
    <s v="San Diego"/>
    <x v="0"/>
  </r>
  <r>
    <s v="B-26961"/>
    <n v="5193"/>
    <n v="2530"/>
    <n v="5"/>
    <x v="1"/>
    <x v="4"/>
    <x v="0"/>
    <s v="12/29/2024"/>
    <s v="Nicholas Tucker"/>
    <x v="3"/>
    <s v="Miami"/>
    <x v="34"/>
  </r>
  <r>
    <s v="B-26032"/>
    <n v="5167"/>
    <n v="253"/>
    <n v="14"/>
    <x v="2"/>
    <x v="9"/>
    <x v="4"/>
    <s v="8/21/2020"/>
    <s v="Scott Lewis"/>
    <x v="1"/>
    <s v="Houston"/>
    <x v="22"/>
  </r>
  <r>
    <s v="B-26032"/>
    <n v="5167"/>
    <n v="253"/>
    <n v="14"/>
    <x v="2"/>
    <x v="9"/>
    <x v="4"/>
    <s v="4/17/2023"/>
    <s v="Eric Griffith"/>
    <x v="5"/>
    <s v="Chicago"/>
    <x v="26"/>
  </r>
  <r>
    <s v="B-26032"/>
    <n v="5167"/>
    <n v="253"/>
    <n v="14"/>
    <x v="2"/>
    <x v="9"/>
    <x v="4"/>
    <s v="12/24/2023"/>
    <s v="Anna Ferguson"/>
    <x v="4"/>
    <s v="San Francisco"/>
    <x v="15"/>
  </r>
  <r>
    <s v="B-25396"/>
    <n v="5165"/>
    <n v="885"/>
    <n v="16"/>
    <x v="0"/>
    <x v="0"/>
    <x v="2"/>
    <d v="2022-12-11T00:00:00"/>
    <s v="Lydia Donovan"/>
    <x v="5"/>
    <s v="Peoria"/>
    <x v="56"/>
  </r>
  <r>
    <s v="B-26284"/>
    <n v="5152"/>
    <n v="2045"/>
    <n v="14"/>
    <x v="2"/>
    <x v="11"/>
    <x v="3"/>
    <s v="11/27/2020"/>
    <s v="Elizabeth Miller"/>
    <x v="5"/>
    <s v="Springfield"/>
    <x v="32"/>
  </r>
  <r>
    <s v="B-26284"/>
    <n v="5152"/>
    <n v="2045"/>
    <n v="14"/>
    <x v="2"/>
    <x v="11"/>
    <x v="3"/>
    <s v="8/25/2022"/>
    <s v="Sabrina Clark"/>
    <x v="4"/>
    <s v="Los Angeles"/>
    <x v="2"/>
  </r>
  <r>
    <s v="B-26284"/>
    <n v="5152"/>
    <n v="2045"/>
    <n v="14"/>
    <x v="2"/>
    <x v="11"/>
    <x v="3"/>
    <s v="8/23/2023"/>
    <s v="Larry Casey"/>
    <x v="5"/>
    <s v="Chicago"/>
    <x v="55"/>
  </r>
  <r>
    <s v="B-26284"/>
    <n v="5152"/>
    <n v="2045"/>
    <n v="14"/>
    <x v="2"/>
    <x v="11"/>
    <x v="3"/>
    <d v="2023-11-10T00:00:00"/>
    <s v="Daniel Burns"/>
    <x v="0"/>
    <s v="Rochester"/>
    <x v="43"/>
  </r>
  <r>
    <s v="B-26670"/>
    <n v="5151"/>
    <n v="1680"/>
    <n v="5"/>
    <x v="2"/>
    <x v="9"/>
    <x v="2"/>
    <s v="10/22/2022"/>
    <s v="Robert Brooks"/>
    <x v="1"/>
    <s v="Houston"/>
    <x v="29"/>
  </r>
  <r>
    <s v="B-26166"/>
    <n v="5142"/>
    <n v="1916"/>
    <n v="20"/>
    <x v="0"/>
    <x v="7"/>
    <x v="2"/>
    <s v="8/23/2022"/>
    <s v="Cynthia Wilcox"/>
    <x v="5"/>
    <s v="Chicago"/>
    <x v="2"/>
  </r>
  <r>
    <s v="B-25032"/>
    <n v="5122"/>
    <n v="2413"/>
    <n v="12"/>
    <x v="2"/>
    <x v="3"/>
    <x v="1"/>
    <d v="2024-06-08T00:00:00"/>
    <s v="Denise Hampton"/>
    <x v="4"/>
    <s v="San Francisco"/>
    <x v="57"/>
  </r>
  <r>
    <s v="B-25142"/>
    <n v="5105"/>
    <n v="465"/>
    <n v="5"/>
    <x v="2"/>
    <x v="9"/>
    <x v="3"/>
    <d v="2021-12-11T00:00:00"/>
    <s v="Marc Strickland"/>
    <x v="3"/>
    <s v="Orlando"/>
    <x v="28"/>
  </r>
  <r>
    <s v="B-25388"/>
    <n v="5047"/>
    <n v="2211"/>
    <n v="13"/>
    <x v="1"/>
    <x v="4"/>
    <x v="2"/>
    <s v="8/13/2023"/>
    <s v="Alexandra Moran"/>
    <x v="4"/>
    <s v="San Francisco"/>
    <x v="55"/>
  </r>
  <r>
    <s v="B-25388"/>
    <n v="5047"/>
    <n v="2211"/>
    <n v="13"/>
    <x v="1"/>
    <x v="4"/>
    <x v="2"/>
    <d v="2021-04-02T00:00:00"/>
    <s v="Sara Castro"/>
    <x v="5"/>
    <s v="Chicago"/>
    <x v="42"/>
  </r>
  <r>
    <s v="B-25388"/>
    <n v="5047"/>
    <n v="2211"/>
    <n v="13"/>
    <x v="1"/>
    <x v="4"/>
    <x v="2"/>
    <s v="9/16/2022"/>
    <s v="Shawn Leach"/>
    <x v="5"/>
    <s v="Peoria"/>
    <x v="4"/>
  </r>
  <r>
    <s v="B-25388"/>
    <n v="5047"/>
    <n v="2211"/>
    <n v="13"/>
    <x v="1"/>
    <x v="4"/>
    <x v="2"/>
    <d v="2022-06-05T00:00:00"/>
    <s v="Mark Boyle"/>
    <x v="0"/>
    <s v="Buffalo"/>
    <x v="41"/>
  </r>
  <r>
    <s v="B-25427"/>
    <n v="5035"/>
    <n v="2008"/>
    <n v="2"/>
    <x v="1"/>
    <x v="5"/>
    <x v="1"/>
    <d v="2020-04-04T00:00:00"/>
    <s v="Richard Blair"/>
    <x v="3"/>
    <s v="Miami"/>
    <x v="18"/>
  </r>
  <r>
    <s v="B-25325"/>
    <n v="5031"/>
    <n v="714"/>
    <n v="4"/>
    <x v="1"/>
    <x v="1"/>
    <x v="4"/>
    <d v="2024-12-06T00:00:00"/>
    <s v="Jean Jackson"/>
    <x v="4"/>
    <s v="San Francisco"/>
    <x v="11"/>
  </r>
  <r>
    <s v="B-25447"/>
    <n v="5028"/>
    <n v="1553"/>
    <n v="13"/>
    <x v="0"/>
    <x v="7"/>
    <x v="2"/>
    <d v="2020-04-05T00:00:00"/>
    <s v="Amber Kennedy"/>
    <x v="3"/>
    <s v="Tampa"/>
    <x v="48"/>
  </r>
  <r>
    <s v="B-26046"/>
    <n v="5024"/>
    <n v="1544"/>
    <n v="19"/>
    <x v="0"/>
    <x v="0"/>
    <x v="1"/>
    <d v="2022-05-12T00:00:00"/>
    <s v="Charles Moore"/>
    <x v="3"/>
    <s v="Miami"/>
    <x v="9"/>
  </r>
  <r>
    <s v="B-25234"/>
    <n v="5024"/>
    <n v="379"/>
    <n v="2"/>
    <x v="0"/>
    <x v="7"/>
    <x v="3"/>
    <d v="2024-02-04T00:00:00"/>
    <s v="Nancy Kennedy"/>
    <x v="1"/>
    <s v="Dallas"/>
    <x v="24"/>
  </r>
  <r>
    <s v="B-25234"/>
    <n v="5024"/>
    <n v="379"/>
    <n v="2"/>
    <x v="0"/>
    <x v="7"/>
    <x v="3"/>
    <d v="2022-03-12T00:00:00"/>
    <s v="Andrew Barry"/>
    <x v="5"/>
    <s v="Peoria"/>
    <x v="9"/>
  </r>
  <r>
    <s v="B-25759"/>
    <n v="5014"/>
    <n v="2332"/>
    <n v="2"/>
    <x v="1"/>
    <x v="5"/>
    <x v="1"/>
    <d v="2020-10-11T00:00:00"/>
    <s v="Leah Calderon"/>
    <x v="5"/>
    <s v="Chicago"/>
    <x v="32"/>
  </r>
  <r>
    <s v="B-25555"/>
    <n v="5011"/>
    <n v="866"/>
    <n v="11"/>
    <x v="1"/>
    <x v="6"/>
    <x v="4"/>
    <d v="2023-03-07T00:00:00"/>
    <s v="Jessica Richardson"/>
    <x v="4"/>
    <s v="San Diego"/>
    <x v="23"/>
  </r>
  <r>
    <s v="B-25555"/>
    <n v="5011"/>
    <n v="866"/>
    <n v="11"/>
    <x v="1"/>
    <x v="6"/>
    <x v="4"/>
    <d v="2021-08-05T00:00:00"/>
    <s v="Kimberly Warren"/>
    <x v="2"/>
    <s v="Cincinnati"/>
    <x v="12"/>
  </r>
  <r>
    <s v="B-26795"/>
    <n v="5002"/>
    <n v="1801"/>
    <n v="11"/>
    <x v="0"/>
    <x v="2"/>
    <x v="4"/>
    <s v="7/16/2023"/>
    <s v="Karen Townsend"/>
    <x v="1"/>
    <s v="Houston"/>
    <x v="23"/>
  </r>
  <r>
    <s v="B-25953"/>
    <n v="4985"/>
    <n v="1920"/>
    <n v="10"/>
    <x v="1"/>
    <x v="6"/>
    <x v="4"/>
    <d v="2022-06-06T00:00:00"/>
    <s v="Nancy Sanchez"/>
    <x v="5"/>
    <s v="Springfield"/>
    <x v="10"/>
  </r>
  <r>
    <s v="B-25953"/>
    <n v="4985"/>
    <n v="1920"/>
    <n v="10"/>
    <x v="1"/>
    <x v="6"/>
    <x v="4"/>
    <s v="11/13/2021"/>
    <s v="Sydney Walls"/>
    <x v="5"/>
    <s v="Chicago"/>
    <x v="28"/>
  </r>
  <r>
    <s v="B-26776"/>
    <n v="4975"/>
    <n v="1330"/>
    <n v="14"/>
    <x v="2"/>
    <x v="9"/>
    <x v="3"/>
    <s v="6/27/2023"/>
    <s v="David Padilla"/>
    <x v="3"/>
    <s v="Miami"/>
    <x v="20"/>
  </r>
  <r>
    <s v="B-26776"/>
    <n v="4975"/>
    <n v="1330"/>
    <n v="14"/>
    <x v="2"/>
    <x v="9"/>
    <x v="3"/>
    <s v="12/27/2024"/>
    <s v="Connor Morgan"/>
    <x v="5"/>
    <s v="Chicago"/>
    <x v="34"/>
  </r>
  <r>
    <s v="B-26776"/>
    <n v="4975"/>
    <n v="1330"/>
    <n v="14"/>
    <x v="2"/>
    <x v="9"/>
    <x v="3"/>
    <s v="7/25/2021"/>
    <s v="Robert Stone"/>
    <x v="0"/>
    <s v="Buffalo"/>
    <x v="14"/>
  </r>
  <r>
    <s v="B-26293"/>
    <n v="4968"/>
    <n v="934"/>
    <n v="5"/>
    <x v="1"/>
    <x v="4"/>
    <x v="0"/>
    <s v="11/26/2021"/>
    <s v="Michael Hunt"/>
    <x v="1"/>
    <s v="Dallas"/>
    <x v="28"/>
  </r>
  <r>
    <s v="B-26038"/>
    <n v="4963"/>
    <n v="1254"/>
    <n v="15"/>
    <x v="0"/>
    <x v="7"/>
    <x v="2"/>
    <d v="2024-08-10T00:00:00"/>
    <s v="Kimberly King"/>
    <x v="2"/>
    <s v="Columbus"/>
    <x v="50"/>
  </r>
  <r>
    <s v="B-26610"/>
    <n v="4957"/>
    <n v="1152"/>
    <n v="8"/>
    <x v="0"/>
    <x v="2"/>
    <x v="4"/>
    <s v="3/22/2022"/>
    <s v="Meghan Rush"/>
    <x v="2"/>
    <s v="Cleveland"/>
    <x v="3"/>
  </r>
  <r>
    <s v="B-25885"/>
    <n v="4948"/>
    <n v="2356"/>
    <n v="18"/>
    <x v="2"/>
    <x v="9"/>
    <x v="0"/>
    <d v="2021-06-03T00:00:00"/>
    <s v="Dawn Howard"/>
    <x v="1"/>
    <s v="Houston"/>
    <x v="36"/>
  </r>
  <r>
    <s v="B-26352"/>
    <n v="4936"/>
    <n v="576"/>
    <n v="19"/>
    <x v="1"/>
    <x v="1"/>
    <x v="1"/>
    <s v="7/18/2023"/>
    <s v="Marcus Brown"/>
    <x v="5"/>
    <s v="Chicago"/>
    <x v="23"/>
  </r>
  <r>
    <s v="B-26352"/>
    <n v="4936"/>
    <n v="576"/>
    <n v="19"/>
    <x v="1"/>
    <x v="1"/>
    <x v="1"/>
    <s v="5/16/2022"/>
    <s v="Annette Pierce"/>
    <x v="0"/>
    <s v="Rochester"/>
    <x v="41"/>
  </r>
  <r>
    <s v="B-26146"/>
    <n v="4932"/>
    <n v="1153"/>
    <n v="1"/>
    <x v="0"/>
    <x v="2"/>
    <x v="1"/>
    <s v="7/28/2024"/>
    <s v="Megan Charles"/>
    <x v="3"/>
    <s v="Tampa"/>
    <x v="33"/>
  </r>
  <r>
    <s v="B-26939"/>
    <n v="4920"/>
    <n v="775"/>
    <n v="12"/>
    <x v="1"/>
    <x v="1"/>
    <x v="0"/>
    <d v="2021-12-08T00:00:00"/>
    <s v="Theresa Medina"/>
    <x v="5"/>
    <s v="Springfield"/>
    <x v="30"/>
  </r>
  <r>
    <s v="B-26029"/>
    <n v="4918"/>
    <n v="1485"/>
    <n v="7"/>
    <x v="2"/>
    <x v="11"/>
    <x v="3"/>
    <d v="2023-02-02T00:00:00"/>
    <s v="Anthony May"/>
    <x v="3"/>
    <s v="Tampa"/>
    <x v="51"/>
  </r>
  <r>
    <s v="B-25972"/>
    <n v="4911"/>
    <n v="186"/>
    <n v="20"/>
    <x v="2"/>
    <x v="11"/>
    <x v="0"/>
    <s v="6/19/2022"/>
    <s v="Willie Huynh"/>
    <x v="0"/>
    <s v="Buffalo"/>
    <x v="10"/>
  </r>
  <r>
    <s v="B-26153"/>
    <n v="4906"/>
    <n v="975"/>
    <n v="7"/>
    <x v="1"/>
    <x v="1"/>
    <x v="0"/>
    <s v="5/18/2022"/>
    <s v="Laura Yu"/>
    <x v="1"/>
    <s v="Houston"/>
    <x v="41"/>
  </r>
  <r>
    <s v="B-25707"/>
    <n v="4904"/>
    <n v="469"/>
    <n v="2"/>
    <x v="0"/>
    <x v="0"/>
    <x v="0"/>
    <s v="4/25/2020"/>
    <s v="Kaitlin Brown"/>
    <x v="1"/>
    <s v="Dallas"/>
    <x v="18"/>
  </r>
  <r>
    <s v="B-26420"/>
    <n v="4897"/>
    <n v="1001"/>
    <n v="14"/>
    <x v="1"/>
    <x v="4"/>
    <x v="0"/>
    <d v="2021-07-12T00:00:00"/>
    <s v="Lisa Farmer"/>
    <x v="1"/>
    <s v="Houston"/>
    <x v="45"/>
  </r>
  <r>
    <s v="B-26420"/>
    <n v="4897"/>
    <n v="1001"/>
    <n v="14"/>
    <x v="1"/>
    <x v="4"/>
    <x v="0"/>
    <d v="2025-06-01T00:00:00"/>
    <s v="Christopher Walker"/>
    <x v="2"/>
    <s v="Cincinnati"/>
    <x v="35"/>
  </r>
  <r>
    <s v="B-25396"/>
    <n v="4863"/>
    <n v="2394"/>
    <n v="4"/>
    <x v="1"/>
    <x v="6"/>
    <x v="2"/>
    <d v="2022-12-11T00:00:00"/>
    <s v="Lydia Donovan"/>
    <x v="5"/>
    <s v="Peoria"/>
    <x v="56"/>
  </r>
  <r>
    <s v="B-25602"/>
    <n v="4853"/>
    <n v="1764"/>
    <n v="9"/>
    <x v="0"/>
    <x v="0"/>
    <x v="0"/>
    <d v="2021-06-11T00:00:00"/>
    <s v="Rhonda Harris"/>
    <x v="3"/>
    <s v="Orlando"/>
    <x v="28"/>
  </r>
  <r>
    <s v="B-25602"/>
    <n v="4853"/>
    <n v="1764"/>
    <n v="9"/>
    <x v="0"/>
    <x v="0"/>
    <x v="0"/>
    <s v="8/30/2022"/>
    <s v="Randy Fisher"/>
    <x v="1"/>
    <s v="Houston"/>
    <x v="2"/>
  </r>
  <r>
    <s v="B-25222"/>
    <n v="4852"/>
    <n v="218"/>
    <n v="2"/>
    <x v="1"/>
    <x v="1"/>
    <x v="2"/>
    <s v="4/24/2024"/>
    <s v="Alicia Allen"/>
    <x v="1"/>
    <s v="Dallas"/>
    <x v="24"/>
  </r>
  <r>
    <s v="B-25222"/>
    <n v="4852"/>
    <n v="218"/>
    <n v="2"/>
    <x v="1"/>
    <x v="1"/>
    <x v="2"/>
    <s v="12/24/2021"/>
    <s v="Cynthia Meyer"/>
    <x v="3"/>
    <s v="Tampa"/>
    <x v="45"/>
  </r>
  <r>
    <s v="B-25222"/>
    <n v="4852"/>
    <n v="218"/>
    <n v="2"/>
    <x v="1"/>
    <x v="1"/>
    <x v="2"/>
    <d v="2023-07-09T00:00:00"/>
    <s v="Brandon Norton"/>
    <x v="5"/>
    <s v="Springfield"/>
    <x v="6"/>
  </r>
  <r>
    <s v="B-26587"/>
    <n v="4826"/>
    <n v="562"/>
    <n v="5"/>
    <x v="0"/>
    <x v="7"/>
    <x v="0"/>
    <d v="2021-07-05T00:00:00"/>
    <s v="Angela Lyons"/>
    <x v="0"/>
    <s v="New York City"/>
    <x v="12"/>
  </r>
  <r>
    <s v="B-25227"/>
    <n v="4761"/>
    <n v="2231"/>
    <n v="12"/>
    <x v="1"/>
    <x v="1"/>
    <x v="3"/>
    <d v="2020-08-04T00:00:00"/>
    <s v="Donald Perry"/>
    <x v="3"/>
    <s v="Orlando"/>
    <x v="18"/>
  </r>
  <r>
    <s v="B-25792"/>
    <n v="4751"/>
    <n v="781"/>
    <n v="9"/>
    <x v="0"/>
    <x v="7"/>
    <x v="2"/>
    <d v="2023-02-07T00:00:00"/>
    <s v="Kyle Jackson"/>
    <x v="0"/>
    <s v="Buffalo"/>
    <x v="23"/>
  </r>
  <r>
    <s v="B-25560"/>
    <n v="4734"/>
    <n v="1178"/>
    <n v="16"/>
    <x v="0"/>
    <x v="8"/>
    <x v="4"/>
    <s v="7/13/2023"/>
    <s v="Andrew Allen"/>
    <x v="4"/>
    <s v="San Diego"/>
    <x v="23"/>
  </r>
  <r>
    <s v="B-25549"/>
    <n v="4734"/>
    <n v="958"/>
    <n v="7"/>
    <x v="2"/>
    <x v="9"/>
    <x v="0"/>
    <s v="7/30/2023"/>
    <s v="Amy Duran MD"/>
    <x v="3"/>
    <s v="Orlando"/>
    <x v="23"/>
  </r>
  <r>
    <s v="B-26222"/>
    <n v="4708"/>
    <n v="696"/>
    <n v="14"/>
    <x v="2"/>
    <x v="3"/>
    <x v="4"/>
    <s v="6/29/2022"/>
    <s v="Carol Mitchell"/>
    <x v="5"/>
    <s v="Chicago"/>
    <x v="10"/>
  </r>
  <r>
    <s v="B-26366"/>
    <n v="4706"/>
    <n v="594"/>
    <n v="11"/>
    <x v="0"/>
    <x v="8"/>
    <x v="1"/>
    <s v="8/21/2021"/>
    <s v="James Mendoza"/>
    <x v="2"/>
    <s v="Cleveland"/>
    <x v="30"/>
  </r>
  <r>
    <s v="B-26366"/>
    <n v="4706"/>
    <n v="594"/>
    <n v="11"/>
    <x v="0"/>
    <x v="8"/>
    <x v="1"/>
    <s v="5/16/2021"/>
    <s v="Kaitlin Garrison"/>
    <x v="2"/>
    <s v="Columbus"/>
    <x v="12"/>
  </r>
  <r>
    <s v="B-26872"/>
    <n v="4699"/>
    <n v="625"/>
    <n v="18"/>
    <x v="0"/>
    <x v="2"/>
    <x v="2"/>
    <s v="1/13/2024"/>
    <s v="Scott Gibbs"/>
    <x v="4"/>
    <s v="Los Angeles"/>
    <x v="54"/>
  </r>
  <r>
    <s v="B-26789"/>
    <n v="4699"/>
    <n v="103"/>
    <n v="12"/>
    <x v="0"/>
    <x v="8"/>
    <x v="3"/>
    <s v="5/21/2024"/>
    <s v="Cheryl Johnson"/>
    <x v="2"/>
    <s v="Cincinnati"/>
    <x v="44"/>
  </r>
  <r>
    <s v="B-25437"/>
    <n v="4688"/>
    <n v="1841"/>
    <n v="3"/>
    <x v="2"/>
    <x v="10"/>
    <x v="4"/>
    <s v="1/23/2023"/>
    <s v="Justin Thomas"/>
    <x v="4"/>
    <s v="San Francisco"/>
    <x v="52"/>
  </r>
  <r>
    <s v="B-25437"/>
    <n v="4688"/>
    <n v="1841"/>
    <n v="3"/>
    <x v="2"/>
    <x v="10"/>
    <x v="4"/>
    <s v="7/25/2021"/>
    <s v="Jillian Johnson MD"/>
    <x v="4"/>
    <s v="San Diego"/>
    <x v="14"/>
  </r>
  <r>
    <s v="B-26926"/>
    <n v="4629"/>
    <n v="1660"/>
    <n v="16"/>
    <x v="0"/>
    <x v="2"/>
    <x v="2"/>
    <d v="2023-02-04T00:00:00"/>
    <s v="Steven Herrera"/>
    <x v="4"/>
    <s v="San Diego"/>
    <x v="26"/>
  </r>
  <r>
    <s v="B-25064"/>
    <n v="4628"/>
    <n v="1491"/>
    <n v="17"/>
    <x v="2"/>
    <x v="3"/>
    <x v="3"/>
    <d v="2022-10-02T00:00:00"/>
    <s v="Kimberly Johnson"/>
    <x v="0"/>
    <s v="Buffalo"/>
    <x v="47"/>
  </r>
  <r>
    <s v="B-25064"/>
    <n v="4628"/>
    <n v="1491"/>
    <n v="17"/>
    <x v="2"/>
    <x v="3"/>
    <x v="3"/>
    <d v="2023-05-10T00:00:00"/>
    <s v="Kelly Jones"/>
    <x v="0"/>
    <s v="Rochester"/>
    <x v="43"/>
  </r>
  <r>
    <s v="B-25549"/>
    <n v="4609"/>
    <n v="1084"/>
    <n v="8"/>
    <x v="2"/>
    <x v="9"/>
    <x v="3"/>
    <s v="7/30/2023"/>
    <s v="Amy Duran MD"/>
    <x v="3"/>
    <s v="Orlando"/>
    <x v="23"/>
  </r>
  <r>
    <s v="B-26843"/>
    <n v="4591"/>
    <n v="1941"/>
    <n v="19"/>
    <x v="2"/>
    <x v="9"/>
    <x v="2"/>
    <s v="7/31/2021"/>
    <s v="Megan Williams"/>
    <x v="1"/>
    <s v="Dallas"/>
    <x v="14"/>
  </r>
  <r>
    <s v="B-25733"/>
    <n v="4569"/>
    <n v="1693"/>
    <n v="10"/>
    <x v="2"/>
    <x v="9"/>
    <x v="3"/>
    <d v="2020-04-09T00:00:00"/>
    <s v="Manuel Stark"/>
    <x v="5"/>
    <s v="Springfield"/>
    <x v="27"/>
  </r>
  <r>
    <s v="B-25809"/>
    <n v="4548"/>
    <n v="2135"/>
    <n v="8"/>
    <x v="0"/>
    <x v="2"/>
    <x v="0"/>
    <d v="2022-08-03T00:00:00"/>
    <s v="Kelly Smith"/>
    <x v="2"/>
    <s v="Cleveland"/>
    <x v="3"/>
  </r>
  <r>
    <s v="B-25809"/>
    <n v="4548"/>
    <n v="2135"/>
    <n v="8"/>
    <x v="0"/>
    <x v="2"/>
    <x v="0"/>
    <d v="2022-08-12T00:00:00"/>
    <s v="Sabrina Hartman"/>
    <x v="3"/>
    <s v="Tampa"/>
    <x v="9"/>
  </r>
  <r>
    <s v="B-25443"/>
    <n v="4544"/>
    <n v="1726"/>
    <n v="9"/>
    <x v="2"/>
    <x v="11"/>
    <x v="2"/>
    <s v="8/21/2024"/>
    <s v="Kathy Wilson"/>
    <x v="1"/>
    <s v="Dallas"/>
    <x v="57"/>
  </r>
  <r>
    <s v="B-26251"/>
    <n v="4539"/>
    <n v="1155"/>
    <n v="8"/>
    <x v="1"/>
    <x v="6"/>
    <x v="0"/>
    <d v="2023-04-06T00:00:00"/>
    <s v="Brenda Murphy"/>
    <x v="4"/>
    <s v="San Francisco"/>
    <x v="20"/>
  </r>
  <r>
    <s v="B-25267"/>
    <n v="4534"/>
    <n v="2235"/>
    <n v="4"/>
    <x v="1"/>
    <x v="1"/>
    <x v="1"/>
    <s v="8/21/2022"/>
    <s v="Michael Bell"/>
    <x v="4"/>
    <s v="San Diego"/>
    <x v="2"/>
  </r>
  <r>
    <s v="B-25839"/>
    <n v="4521"/>
    <n v="1778"/>
    <n v="9"/>
    <x v="0"/>
    <x v="7"/>
    <x v="0"/>
    <s v="10/15/2024"/>
    <s v="David Allen"/>
    <x v="3"/>
    <s v="Tampa"/>
    <x v="50"/>
  </r>
  <r>
    <s v="B-25949"/>
    <n v="4510"/>
    <n v="1896"/>
    <n v="5"/>
    <x v="0"/>
    <x v="7"/>
    <x v="2"/>
    <s v="10/25/2023"/>
    <s v="Johnny Simon"/>
    <x v="4"/>
    <s v="Los Angeles"/>
    <x v="43"/>
  </r>
  <r>
    <s v="B-25517"/>
    <n v="4495"/>
    <n v="1408"/>
    <n v="14"/>
    <x v="0"/>
    <x v="0"/>
    <x v="2"/>
    <s v="12/29/2021"/>
    <s v="Tamara Guzman"/>
    <x v="0"/>
    <s v="Buffalo"/>
    <x v="45"/>
  </r>
  <r>
    <s v="B-25099"/>
    <n v="4492"/>
    <n v="1450"/>
    <n v="7"/>
    <x v="1"/>
    <x v="1"/>
    <x v="2"/>
    <s v="12/22/2021"/>
    <s v="William Valdez"/>
    <x v="4"/>
    <s v="San Diego"/>
    <x v="45"/>
  </r>
  <r>
    <s v="B-25957"/>
    <n v="4470"/>
    <n v="413"/>
    <n v="13"/>
    <x v="2"/>
    <x v="10"/>
    <x v="3"/>
    <d v="2025-02-02T00:00:00"/>
    <s v="Michael Chambers"/>
    <x v="4"/>
    <s v="Los Angeles"/>
    <x v="21"/>
  </r>
  <r>
    <s v="B-25515"/>
    <n v="4468"/>
    <n v="1940"/>
    <n v="9"/>
    <x v="0"/>
    <x v="7"/>
    <x v="1"/>
    <s v="3/16/2022"/>
    <s v="Seth Rodriguez"/>
    <x v="3"/>
    <s v="Tampa"/>
    <x v="3"/>
  </r>
  <r>
    <s v="B-26059"/>
    <n v="4462"/>
    <n v="121"/>
    <n v="8"/>
    <x v="2"/>
    <x v="10"/>
    <x v="1"/>
    <s v="4/24/2022"/>
    <s v="Wesley Deleon"/>
    <x v="5"/>
    <s v="Springfield"/>
    <x v="1"/>
  </r>
  <r>
    <s v="B-26759"/>
    <n v="4441"/>
    <n v="281"/>
    <n v="20"/>
    <x v="2"/>
    <x v="9"/>
    <x v="1"/>
    <d v="2024-10-11T00:00:00"/>
    <s v="Rebecca Smith"/>
    <x v="1"/>
    <s v="Dallas"/>
    <x v="46"/>
  </r>
  <r>
    <s v="B-26910"/>
    <n v="4441"/>
    <n v="314"/>
    <n v="14"/>
    <x v="1"/>
    <x v="5"/>
    <x v="0"/>
    <s v="4/29/2024"/>
    <s v="Mr. Ralph Garcia Jr."/>
    <x v="0"/>
    <s v="Rochester"/>
    <x v="24"/>
  </r>
  <r>
    <s v="B-26730"/>
    <n v="4439"/>
    <n v="1712"/>
    <n v="19"/>
    <x v="1"/>
    <x v="4"/>
    <x v="4"/>
    <s v="2/26/2022"/>
    <s v="David Smith"/>
    <x v="3"/>
    <s v="Orlando"/>
    <x v="47"/>
  </r>
  <r>
    <s v="B-26730"/>
    <n v="4439"/>
    <n v="1712"/>
    <n v="19"/>
    <x v="1"/>
    <x v="4"/>
    <x v="4"/>
    <d v="2021-05-04T00:00:00"/>
    <s v="Jacqueline Harris"/>
    <x v="1"/>
    <s v="Houston"/>
    <x v="8"/>
  </r>
  <r>
    <s v="B-26209"/>
    <n v="4404"/>
    <n v="858"/>
    <n v="17"/>
    <x v="0"/>
    <x v="0"/>
    <x v="0"/>
    <s v="3/17/2024"/>
    <s v="Bianca Brown"/>
    <x v="2"/>
    <s v="Columbus"/>
    <x v="40"/>
  </r>
  <r>
    <s v="B-25832"/>
    <n v="4395"/>
    <n v="1663"/>
    <n v="3"/>
    <x v="1"/>
    <x v="6"/>
    <x v="1"/>
    <s v="2/24/2025"/>
    <s v="Jennifer Arnold"/>
    <x v="0"/>
    <s v="New York City"/>
    <x v="21"/>
  </r>
  <r>
    <s v="B-26716"/>
    <n v="4390"/>
    <n v="179"/>
    <n v="1"/>
    <x v="1"/>
    <x v="1"/>
    <x v="0"/>
    <s v="11/20/2021"/>
    <s v="Marcus Santiago"/>
    <x v="0"/>
    <s v="Buffalo"/>
    <x v="28"/>
  </r>
  <r>
    <s v="B-26601"/>
    <n v="4382"/>
    <n v="482"/>
    <n v="17"/>
    <x v="2"/>
    <x v="3"/>
    <x v="1"/>
    <s v="3/13/2024"/>
    <s v="Melinda Montoya"/>
    <x v="4"/>
    <s v="San Francisco"/>
    <x v="40"/>
  </r>
  <r>
    <s v="B-25841"/>
    <n v="4371"/>
    <n v="1852"/>
    <n v="1"/>
    <x v="2"/>
    <x v="10"/>
    <x v="3"/>
    <s v="1/19/2021"/>
    <s v="Jacob Meyer"/>
    <x v="5"/>
    <s v="Peoria"/>
    <x v="60"/>
  </r>
  <r>
    <s v="B-26268"/>
    <n v="4369"/>
    <n v="584"/>
    <n v="13"/>
    <x v="0"/>
    <x v="0"/>
    <x v="4"/>
    <s v="9/22/2022"/>
    <s v="Ashley Petty"/>
    <x v="5"/>
    <s v="Peoria"/>
    <x v="4"/>
  </r>
  <r>
    <s v="B-26268"/>
    <n v="4369"/>
    <n v="584"/>
    <n v="13"/>
    <x v="0"/>
    <x v="0"/>
    <x v="4"/>
    <d v="2021-03-04T00:00:00"/>
    <s v="Crystal Ross"/>
    <x v="1"/>
    <s v="Austin"/>
    <x v="8"/>
  </r>
  <r>
    <s v="B-25342"/>
    <n v="4364"/>
    <n v="831"/>
    <n v="2"/>
    <x v="1"/>
    <x v="1"/>
    <x v="2"/>
    <d v="2024-06-12T00:00:00"/>
    <s v="Nancy Jones"/>
    <x v="2"/>
    <s v="Cleveland"/>
    <x v="34"/>
  </r>
  <r>
    <s v="B-26932"/>
    <n v="4364"/>
    <n v="148"/>
    <n v="18"/>
    <x v="1"/>
    <x v="1"/>
    <x v="2"/>
    <s v="7/15/2022"/>
    <s v="Michael Rodriguez"/>
    <x v="2"/>
    <s v="Cincinnati"/>
    <x v="59"/>
  </r>
  <r>
    <s v="B-26742"/>
    <n v="4358"/>
    <n v="526"/>
    <n v="19"/>
    <x v="2"/>
    <x v="11"/>
    <x v="4"/>
    <d v="2022-05-12T00:00:00"/>
    <s v="Bryan Russell"/>
    <x v="1"/>
    <s v="Dallas"/>
    <x v="9"/>
  </r>
  <r>
    <s v="B-26742"/>
    <n v="4358"/>
    <n v="526"/>
    <n v="19"/>
    <x v="2"/>
    <x v="11"/>
    <x v="4"/>
    <s v="9/17/2024"/>
    <s v="Tony Maddox"/>
    <x v="4"/>
    <s v="San Francisco"/>
    <x v="39"/>
  </r>
  <r>
    <s v="B-26402"/>
    <n v="4314"/>
    <n v="1453"/>
    <n v="6"/>
    <x v="1"/>
    <x v="4"/>
    <x v="1"/>
    <d v="2021-10-08T00:00:00"/>
    <s v="Christina Scott"/>
    <x v="3"/>
    <s v="Tampa"/>
    <x v="30"/>
  </r>
  <r>
    <s v="B-26563"/>
    <n v="4314"/>
    <n v="1591"/>
    <n v="5"/>
    <x v="1"/>
    <x v="1"/>
    <x v="0"/>
    <d v="2021-04-10T00:00:00"/>
    <s v="Lauren Howell"/>
    <x v="0"/>
    <s v="Buffalo"/>
    <x v="0"/>
  </r>
  <r>
    <s v="B-25976"/>
    <n v="4307"/>
    <n v="615"/>
    <n v="3"/>
    <x v="2"/>
    <x v="3"/>
    <x v="3"/>
    <s v="3/15/2024"/>
    <s v="Martha Carney"/>
    <x v="0"/>
    <s v="New York City"/>
    <x v="40"/>
  </r>
  <r>
    <s v="B-25976"/>
    <n v="4307"/>
    <n v="615"/>
    <n v="3"/>
    <x v="2"/>
    <x v="3"/>
    <x v="3"/>
    <d v="2020-10-11T00:00:00"/>
    <s v="Francisco Hicks"/>
    <x v="5"/>
    <s v="Springfield"/>
    <x v="32"/>
  </r>
  <r>
    <s v="B-25060"/>
    <n v="4244"/>
    <n v="340"/>
    <n v="10"/>
    <x v="2"/>
    <x v="10"/>
    <x v="0"/>
    <d v="2020-08-10T00:00:00"/>
    <s v="Jonathan Mcmillan"/>
    <x v="0"/>
    <s v="Buffalo"/>
    <x v="19"/>
  </r>
  <r>
    <s v="B-25381"/>
    <n v="4220"/>
    <n v="945"/>
    <n v="13"/>
    <x v="0"/>
    <x v="2"/>
    <x v="2"/>
    <s v="3/21/2024"/>
    <s v="Barry Garcia"/>
    <x v="5"/>
    <s v="Springfield"/>
    <x v="40"/>
  </r>
  <r>
    <s v="B-25381"/>
    <n v="4220"/>
    <n v="945"/>
    <n v="13"/>
    <x v="0"/>
    <x v="2"/>
    <x v="2"/>
    <s v="12/15/2020"/>
    <s v="Dawn Webb"/>
    <x v="5"/>
    <s v="Peoria"/>
    <x v="53"/>
  </r>
  <r>
    <s v="B-25486"/>
    <n v="4215"/>
    <n v="432"/>
    <n v="14"/>
    <x v="1"/>
    <x v="5"/>
    <x v="0"/>
    <d v="2024-02-02T00:00:00"/>
    <s v="Melissa Wise"/>
    <x v="2"/>
    <s v="Columbus"/>
    <x v="16"/>
  </r>
  <r>
    <s v="B-26703"/>
    <n v="4206"/>
    <n v="1821"/>
    <n v="17"/>
    <x v="2"/>
    <x v="3"/>
    <x v="2"/>
    <s v="1/23/2022"/>
    <s v="Juan Erickson"/>
    <x v="1"/>
    <s v="Austin"/>
    <x v="13"/>
  </r>
  <r>
    <s v="B-25962"/>
    <n v="4202"/>
    <n v="1171"/>
    <n v="3"/>
    <x v="0"/>
    <x v="2"/>
    <x v="1"/>
    <s v="11/23/2022"/>
    <s v="Rachel Fisher"/>
    <x v="5"/>
    <s v="Peoria"/>
    <x v="56"/>
  </r>
  <r>
    <s v="B-25962"/>
    <n v="4202"/>
    <n v="1171"/>
    <n v="3"/>
    <x v="0"/>
    <x v="2"/>
    <x v="1"/>
    <s v="10/31/2022"/>
    <s v="Donald Moore"/>
    <x v="0"/>
    <s v="Rochester"/>
    <x v="29"/>
  </r>
  <r>
    <s v="B-25962"/>
    <n v="4202"/>
    <n v="1171"/>
    <n v="3"/>
    <x v="0"/>
    <x v="2"/>
    <x v="1"/>
    <d v="2023-06-11T00:00:00"/>
    <s v="William Wu"/>
    <x v="3"/>
    <s v="Tampa"/>
    <x v="37"/>
  </r>
  <r>
    <s v="B-25962"/>
    <n v="4202"/>
    <n v="1171"/>
    <n v="3"/>
    <x v="0"/>
    <x v="2"/>
    <x v="1"/>
    <d v="2023-12-11T00:00:00"/>
    <s v="Jesus Zuniga"/>
    <x v="1"/>
    <s v="Houston"/>
    <x v="37"/>
  </r>
  <r>
    <s v="B-25747"/>
    <n v="4200"/>
    <n v="855"/>
    <n v="10"/>
    <x v="0"/>
    <x v="2"/>
    <x v="2"/>
    <d v="2021-12-05T00:00:00"/>
    <s v="Jessica Kidd"/>
    <x v="0"/>
    <s v="Buffalo"/>
    <x v="12"/>
  </r>
  <r>
    <s v="B-25747"/>
    <n v="4200"/>
    <n v="855"/>
    <n v="10"/>
    <x v="0"/>
    <x v="2"/>
    <x v="2"/>
    <s v="9/17/2023"/>
    <s v="Nicholas Martin"/>
    <x v="3"/>
    <s v="Tampa"/>
    <x v="6"/>
  </r>
  <r>
    <s v="B-26292"/>
    <n v="4183"/>
    <n v="1159"/>
    <n v="4"/>
    <x v="0"/>
    <x v="0"/>
    <x v="0"/>
    <s v="7/13/2020"/>
    <s v="Nathan Moss"/>
    <x v="5"/>
    <s v="Springfield"/>
    <x v="31"/>
  </r>
  <r>
    <s v="B-26245"/>
    <n v="4172"/>
    <n v="235"/>
    <n v="5"/>
    <x v="0"/>
    <x v="7"/>
    <x v="2"/>
    <d v="2021-02-06T00:00:00"/>
    <s v="Megan Morgan"/>
    <x v="2"/>
    <s v="Cleveland"/>
    <x v="17"/>
  </r>
  <r>
    <s v="B-26245"/>
    <n v="4172"/>
    <n v="235"/>
    <n v="5"/>
    <x v="0"/>
    <x v="7"/>
    <x v="2"/>
    <s v="8/22/2022"/>
    <s v="Vincent Kramer"/>
    <x v="3"/>
    <s v="Orlando"/>
    <x v="2"/>
  </r>
  <r>
    <s v="B-26245"/>
    <n v="4172"/>
    <n v="235"/>
    <n v="5"/>
    <x v="0"/>
    <x v="7"/>
    <x v="2"/>
    <s v="4/16/2024"/>
    <s v="Raymond Bean"/>
    <x v="5"/>
    <s v="Springfield"/>
    <x v="24"/>
  </r>
  <r>
    <s v="B-26215"/>
    <n v="4171"/>
    <n v="1450"/>
    <n v="18"/>
    <x v="0"/>
    <x v="2"/>
    <x v="1"/>
    <d v="2023-07-04T00:00:00"/>
    <s v="Richard Lyons"/>
    <x v="1"/>
    <s v="Dallas"/>
    <x v="26"/>
  </r>
  <r>
    <s v="B-25266"/>
    <n v="4164"/>
    <n v="905"/>
    <n v="11"/>
    <x v="2"/>
    <x v="11"/>
    <x v="1"/>
    <d v="2023-04-12T00:00:00"/>
    <s v="Lori Adkins"/>
    <x v="4"/>
    <s v="San Diego"/>
    <x v="15"/>
  </r>
  <r>
    <s v="B-26844"/>
    <n v="4163"/>
    <n v="897"/>
    <n v="14"/>
    <x v="2"/>
    <x v="3"/>
    <x v="1"/>
    <s v="8/30/2022"/>
    <s v="Michelle Lynch"/>
    <x v="5"/>
    <s v="Springfield"/>
    <x v="2"/>
  </r>
  <r>
    <s v="B-26844"/>
    <n v="4163"/>
    <n v="897"/>
    <n v="14"/>
    <x v="2"/>
    <x v="3"/>
    <x v="1"/>
    <s v="2/27/2025"/>
    <s v="Ryan Hale"/>
    <x v="2"/>
    <s v="Cleveland"/>
    <x v="21"/>
  </r>
  <r>
    <s v="B-26844"/>
    <n v="4163"/>
    <n v="897"/>
    <n v="14"/>
    <x v="2"/>
    <x v="3"/>
    <x v="1"/>
    <d v="2021-05-06T00:00:00"/>
    <s v="Marie Jefferson"/>
    <x v="3"/>
    <s v="Orlando"/>
    <x v="17"/>
  </r>
  <r>
    <s v="B-25435"/>
    <n v="4157"/>
    <n v="1874"/>
    <n v="8"/>
    <x v="2"/>
    <x v="10"/>
    <x v="2"/>
    <d v="2020-10-09T00:00:00"/>
    <s v="Paul Scott"/>
    <x v="4"/>
    <s v="San Francisco"/>
    <x v="27"/>
  </r>
  <r>
    <s v="B-26098"/>
    <n v="4146"/>
    <n v="865"/>
    <n v="19"/>
    <x v="1"/>
    <x v="1"/>
    <x v="2"/>
    <d v="2022-04-07T00:00:00"/>
    <s v="Kyle Baker"/>
    <x v="1"/>
    <s v="Houston"/>
    <x v="59"/>
  </r>
  <r>
    <s v="B-26122"/>
    <n v="4116"/>
    <n v="921"/>
    <n v="20"/>
    <x v="0"/>
    <x v="7"/>
    <x v="3"/>
    <d v="2024-07-10T00:00:00"/>
    <s v="Michael Jimenez"/>
    <x v="4"/>
    <s v="Los Angeles"/>
    <x v="50"/>
  </r>
  <r>
    <s v="B-26122"/>
    <n v="4116"/>
    <n v="921"/>
    <n v="20"/>
    <x v="0"/>
    <x v="7"/>
    <x v="3"/>
    <d v="2020-08-09T00:00:00"/>
    <s v="Angela Norman"/>
    <x v="5"/>
    <s v="Springfield"/>
    <x v="27"/>
  </r>
  <r>
    <s v="B-25227"/>
    <n v="4115"/>
    <n v="1285"/>
    <n v="1"/>
    <x v="1"/>
    <x v="4"/>
    <x v="3"/>
    <d v="2020-08-04T00:00:00"/>
    <s v="Donald Perry"/>
    <x v="3"/>
    <s v="Orlando"/>
    <x v="18"/>
  </r>
  <r>
    <s v="B-25655"/>
    <n v="4099"/>
    <n v="52"/>
    <n v="18"/>
    <x v="2"/>
    <x v="10"/>
    <x v="3"/>
    <s v="3/28/2022"/>
    <s v="Russell Austin"/>
    <x v="0"/>
    <s v="New York City"/>
    <x v="3"/>
  </r>
  <r>
    <s v="B-25553"/>
    <n v="4080"/>
    <n v="72"/>
    <n v="17"/>
    <x v="0"/>
    <x v="7"/>
    <x v="1"/>
    <s v="5/30/2024"/>
    <s v="Karen Johnson"/>
    <x v="0"/>
    <s v="Rochester"/>
    <x v="44"/>
  </r>
  <r>
    <s v="B-25560"/>
    <n v="4074"/>
    <n v="1175"/>
    <n v="6"/>
    <x v="2"/>
    <x v="3"/>
    <x v="0"/>
    <s v="7/13/2023"/>
    <s v="Andrew Allen"/>
    <x v="4"/>
    <s v="San Diego"/>
    <x v="23"/>
  </r>
  <r>
    <s v="B-25030"/>
    <n v="4057"/>
    <n v="1012"/>
    <n v="6"/>
    <x v="2"/>
    <x v="10"/>
    <x v="4"/>
    <d v="2022-12-09T00:00:00"/>
    <s v="Eric Nunez"/>
    <x v="4"/>
    <s v="San Diego"/>
    <x v="4"/>
  </r>
  <r>
    <s v="B-25555"/>
    <n v="4051"/>
    <n v="1848"/>
    <n v="12"/>
    <x v="2"/>
    <x v="11"/>
    <x v="4"/>
    <d v="2023-03-07T00:00:00"/>
    <s v="Jessica Richardson"/>
    <x v="4"/>
    <s v="San Diego"/>
    <x v="23"/>
  </r>
  <r>
    <s v="B-25555"/>
    <n v="4051"/>
    <n v="1848"/>
    <n v="12"/>
    <x v="2"/>
    <x v="11"/>
    <x v="4"/>
    <d v="2021-08-05T00:00:00"/>
    <s v="Kimberly Warren"/>
    <x v="2"/>
    <s v="Cincinnati"/>
    <x v="12"/>
  </r>
  <r>
    <s v="B-25430"/>
    <n v="4046"/>
    <n v="417"/>
    <n v="18"/>
    <x v="1"/>
    <x v="5"/>
    <x v="4"/>
    <s v="6/27/2021"/>
    <s v="Michael Rivera"/>
    <x v="4"/>
    <s v="Los Angeles"/>
    <x v="17"/>
  </r>
  <r>
    <s v="B-26863"/>
    <n v="4037"/>
    <n v="1494"/>
    <n v="15"/>
    <x v="1"/>
    <x v="5"/>
    <x v="2"/>
    <d v="2023-01-04T00:00:00"/>
    <s v="Brenda Davis"/>
    <x v="4"/>
    <s v="San Francisco"/>
    <x v="26"/>
  </r>
  <r>
    <s v="B-26806"/>
    <n v="4027"/>
    <n v="1386"/>
    <n v="3"/>
    <x v="1"/>
    <x v="6"/>
    <x v="2"/>
    <s v="8/27/2020"/>
    <s v="Laura Cole"/>
    <x v="3"/>
    <s v="Tampa"/>
    <x v="22"/>
  </r>
  <r>
    <s v="B-25605"/>
    <n v="4026"/>
    <n v="163"/>
    <n v="6"/>
    <x v="2"/>
    <x v="11"/>
    <x v="1"/>
    <s v="7/28/2023"/>
    <s v="Randall Bell"/>
    <x v="0"/>
    <s v="New York City"/>
    <x v="23"/>
  </r>
  <r>
    <s v="B-26599"/>
    <n v="4015"/>
    <n v="1751"/>
    <n v="15"/>
    <x v="1"/>
    <x v="5"/>
    <x v="0"/>
    <s v="8/28/2022"/>
    <s v="Cheryl Stevens"/>
    <x v="4"/>
    <s v="San Francisco"/>
    <x v="2"/>
  </r>
  <r>
    <s v="B-26599"/>
    <n v="4015"/>
    <n v="1751"/>
    <n v="15"/>
    <x v="1"/>
    <x v="5"/>
    <x v="0"/>
    <d v="2020-08-09T00:00:00"/>
    <s v="Jorge George"/>
    <x v="0"/>
    <s v="New York City"/>
    <x v="27"/>
  </r>
  <r>
    <s v="B-26580"/>
    <n v="4007"/>
    <n v="201"/>
    <n v="13"/>
    <x v="1"/>
    <x v="6"/>
    <x v="1"/>
    <s v="10/21/2020"/>
    <s v="Kathryn Rogers"/>
    <x v="2"/>
    <s v="Columbus"/>
    <x v="19"/>
  </r>
  <r>
    <s v="B-26580"/>
    <n v="4007"/>
    <n v="201"/>
    <n v="13"/>
    <x v="1"/>
    <x v="6"/>
    <x v="1"/>
    <s v="4/17/2023"/>
    <s v="Kyle Dickson"/>
    <x v="1"/>
    <s v="Dallas"/>
    <x v="26"/>
  </r>
  <r>
    <s v="B-25154"/>
    <n v="3977"/>
    <n v="813"/>
    <n v="5"/>
    <x v="0"/>
    <x v="8"/>
    <x v="4"/>
    <d v="2024-09-12T00:00:00"/>
    <s v="Mark Rodriguez"/>
    <x v="0"/>
    <s v="New York City"/>
    <x v="34"/>
  </r>
  <r>
    <s v="B-26139"/>
    <n v="3958"/>
    <n v="630"/>
    <n v="15"/>
    <x v="1"/>
    <x v="4"/>
    <x v="2"/>
    <d v="2022-07-10T00:00:00"/>
    <s v="Casey Garcia"/>
    <x v="3"/>
    <s v="Orlando"/>
    <x v="29"/>
  </r>
  <r>
    <s v="B-26922"/>
    <n v="3957"/>
    <n v="151"/>
    <n v="10"/>
    <x v="0"/>
    <x v="8"/>
    <x v="2"/>
    <s v="4/30/2022"/>
    <s v="Timothy Baker"/>
    <x v="1"/>
    <s v="Austin"/>
    <x v="1"/>
  </r>
  <r>
    <s v="B-26119"/>
    <n v="3956"/>
    <n v="142"/>
    <n v="12"/>
    <x v="0"/>
    <x v="0"/>
    <x v="0"/>
    <s v="9/20/2023"/>
    <s v="Jeffrey Henderson"/>
    <x v="3"/>
    <s v="Tampa"/>
    <x v="6"/>
  </r>
  <r>
    <s v="B-26119"/>
    <n v="3956"/>
    <n v="142"/>
    <n v="12"/>
    <x v="0"/>
    <x v="0"/>
    <x v="0"/>
    <s v="12/26/2024"/>
    <s v="Michelle Hardy"/>
    <x v="1"/>
    <s v="Dallas"/>
    <x v="34"/>
  </r>
  <r>
    <s v="B-26224"/>
    <n v="3953"/>
    <n v="1776"/>
    <n v="15"/>
    <x v="2"/>
    <x v="3"/>
    <x v="3"/>
    <s v="1/22/2023"/>
    <s v="Mitchell Lester"/>
    <x v="5"/>
    <s v="Chicago"/>
    <x v="52"/>
  </r>
  <r>
    <s v="B-26224"/>
    <n v="3953"/>
    <n v="1776"/>
    <n v="15"/>
    <x v="2"/>
    <x v="3"/>
    <x v="3"/>
    <d v="2022-12-04T00:00:00"/>
    <s v="Mr. John Tyler PhD"/>
    <x v="1"/>
    <s v="Houston"/>
    <x v="1"/>
  </r>
  <r>
    <s v="B-26224"/>
    <n v="3953"/>
    <n v="1776"/>
    <n v="15"/>
    <x v="2"/>
    <x v="3"/>
    <x v="3"/>
    <s v="12/13/2023"/>
    <s v="Juan Kelly"/>
    <x v="3"/>
    <s v="Miami"/>
    <x v="15"/>
  </r>
  <r>
    <s v="B-25325"/>
    <n v="3944"/>
    <n v="1559"/>
    <n v="18"/>
    <x v="2"/>
    <x v="11"/>
    <x v="4"/>
    <d v="2024-12-06T00:00:00"/>
    <s v="Jean Jackson"/>
    <x v="4"/>
    <s v="San Francisco"/>
    <x v="11"/>
  </r>
  <r>
    <s v="B-25744"/>
    <n v="3936"/>
    <n v="1626"/>
    <n v="14"/>
    <x v="0"/>
    <x v="7"/>
    <x v="1"/>
    <s v="1/14/2022"/>
    <s v="Sherry Tran"/>
    <x v="0"/>
    <s v="Buffalo"/>
    <x v="13"/>
  </r>
  <r>
    <s v="B-26299"/>
    <n v="3927"/>
    <n v="1133"/>
    <n v="12"/>
    <x v="1"/>
    <x v="6"/>
    <x v="1"/>
    <d v="2023-01-03T00:00:00"/>
    <s v="Lauren Harris"/>
    <x v="2"/>
    <s v="Cleveland"/>
    <x v="7"/>
  </r>
  <r>
    <s v="B-25363"/>
    <n v="3918"/>
    <n v="749"/>
    <n v="8"/>
    <x v="2"/>
    <x v="10"/>
    <x v="4"/>
    <d v="2023-10-05T00:00:00"/>
    <s v="Jamie Bradley"/>
    <x v="4"/>
    <s v="San Diego"/>
    <x v="38"/>
  </r>
  <r>
    <s v="B-25363"/>
    <n v="3918"/>
    <n v="749"/>
    <n v="8"/>
    <x v="2"/>
    <x v="10"/>
    <x v="4"/>
    <d v="2020-02-05T00:00:00"/>
    <s v="Robert Martinez"/>
    <x v="1"/>
    <s v="Houston"/>
    <x v="48"/>
  </r>
  <r>
    <s v="B-25011"/>
    <n v="3913"/>
    <n v="961"/>
    <n v="15"/>
    <x v="1"/>
    <x v="4"/>
    <x v="3"/>
    <d v="2024-10-02T00:00:00"/>
    <s v="Eric Bates"/>
    <x v="2"/>
    <s v="Columbus"/>
    <x v="16"/>
  </r>
  <r>
    <s v="B-25011"/>
    <n v="3913"/>
    <n v="961"/>
    <n v="15"/>
    <x v="1"/>
    <x v="4"/>
    <x v="3"/>
    <d v="2021-06-02T00:00:00"/>
    <s v="Steven Keith"/>
    <x v="4"/>
    <s v="San Francisco"/>
    <x v="42"/>
  </r>
  <r>
    <s v="B-25545"/>
    <n v="3900"/>
    <n v="115"/>
    <n v="9"/>
    <x v="1"/>
    <x v="5"/>
    <x v="1"/>
    <d v="2023-07-10T00:00:00"/>
    <s v="Lawrence Oliver"/>
    <x v="5"/>
    <s v="Springfield"/>
    <x v="43"/>
  </r>
  <r>
    <s v="B-25915"/>
    <n v="3887"/>
    <n v="1490"/>
    <n v="1"/>
    <x v="0"/>
    <x v="8"/>
    <x v="0"/>
    <d v="2024-01-02T00:00:00"/>
    <s v="Adam Clark"/>
    <x v="4"/>
    <s v="San Francisco"/>
    <x v="16"/>
  </r>
  <r>
    <s v="B-25915"/>
    <n v="3887"/>
    <n v="1490"/>
    <n v="1"/>
    <x v="0"/>
    <x v="8"/>
    <x v="0"/>
    <d v="2021-09-09T00:00:00"/>
    <s v="Amy Olsen"/>
    <x v="5"/>
    <s v="Springfield"/>
    <x v="58"/>
  </r>
  <r>
    <s v="B-25915"/>
    <n v="3887"/>
    <n v="1490"/>
    <n v="1"/>
    <x v="0"/>
    <x v="8"/>
    <x v="0"/>
    <d v="2021-08-09T00:00:00"/>
    <s v="Stacey Miller"/>
    <x v="4"/>
    <s v="San Diego"/>
    <x v="58"/>
  </r>
  <r>
    <s v="B-25566"/>
    <n v="3877"/>
    <n v="481"/>
    <n v="16"/>
    <x v="1"/>
    <x v="5"/>
    <x v="0"/>
    <s v="7/22/2023"/>
    <s v="Kenneth Matthews"/>
    <x v="0"/>
    <s v="Rochester"/>
    <x v="23"/>
  </r>
  <r>
    <s v="B-25566"/>
    <n v="3877"/>
    <n v="481"/>
    <n v="16"/>
    <x v="1"/>
    <x v="5"/>
    <x v="0"/>
    <d v="2022-04-02T00:00:00"/>
    <s v="Susan Valdez"/>
    <x v="0"/>
    <s v="New York City"/>
    <x v="47"/>
  </r>
  <r>
    <s v="B-25681"/>
    <n v="3854"/>
    <n v="245"/>
    <n v="19"/>
    <x v="2"/>
    <x v="10"/>
    <x v="1"/>
    <s v="5/17/2022"/>
    <s v="Robert Hill"/>
    <x v="2"/>
    <s v="Columbus"/>
    <x v="41"/>
  </r>
  <r>
    <s v="B-26144"/>
    <n v="3853"/>
    <n v="1457"/>
    <n v="10"/>
    <x v="0"/>
    <x v="8"/>
    <x v="1"/>
    <s v="8/23/2024"/>
    <s v="Andrew Griffin"/>
    <x v="5"/>
    <s v="Chicago"/>
    <x v="57"/>
  </r>
  <r>
    <s v="B-25830"/>
    <n v="3839"/>
    <n v="1415"/>
    <n v="10"/>
    <x v="0"/>
    <x v="8"/>
    <x v="3"/>
    <s v="10/17/2023"/>
    <s v="Vincent Roth"/>
    <x v="4"/>
    <s v="Los Angeles"/>
    <x v="43"/>
  </r>
  <r>
    <s v="B-25830"/>
    <n v="3839"/>
    <n v="1415"/>
    <n v="10"/>
    <x v="0"/>
    <x v="8"/>
    <x v="3"/>
    <s v="2/28/2022"/>
    <s v="Andrew Benson"/>
    <x v="3"/>
    <s v="Orlando"/>
    <x v="47"/>
  </r>
  <r>
    <s v="B-25872"/>
    <n v="3808"/>
    <n v="1192"/>
    <n v="4"/>
    <x v="0"/>
    <x v="2"/>
    <x v="3"/>
    <s v="4/13/2020"/>
    <s v="Shelly Sweeney"/>
    <x v="0"/>
    <s v="New York City"/>
    <x v="18"/>
  </r>
  <r>
    <s v="B-26098"/>
    <n v="3793"/>
    <n v="875"/>
    <n v="7"/>
    <x v="1"/>
    <x v="1"/>
    <x v="2"/>
    <d v="2022-04-07T00:00:00"/>
    <s v="Kyle Baker"/>
    <x v="1"/>
    <s v="Houston"/>
    <x v="59"/>
  </r>
  <r>
    <s v="B-25698"/>
    <n v="3776"/>
    <n v="1100"/>
    <n v="9"/>
    <x v="2"/>
    <x v="3"/>
    <x v="2"/>
    <s v="11/13/2022"/>
    <s v="Heather Parker"/>
    <x v="1"/>
    <s v="Austin"/>
    <x v="56"/>
  </r>
  <r>
    <s v="B-25698"/>
    <n v="3776"/>
    <n v="1100"/>
    <n v="9"/>
    <x v="2"/>
    <x v="3"/>
    <x v="2"/>
    <s v="12/28/2022"/>
    <s v="Thomas Matthews"/>
    <x v="5"/>
    <s v="Peoria"/>
    <x v="9"/>
  </r>
  <r>
    <s v="B-25369"/>
    <n v="3760"/>
    <n v="1849"/>
    <n v="19"/>
    <x v="1"/>
    <x v="5"/>
    <x v="2"/>
    <s v="5/24/2020"/>
    <s v="Lauren Jones"/>
    <x v="2"/>
    <s v="Cincinnati"/>
    <x v="48"/>
  </r>
  <r>
    <s v="B-25369"/>
    <n v="3760"/>
    <n v="1849"/>
    <n v="19"/>
    <x v="1"/>
    <x v="5"/>
    <x v="2"/>
    <s v="2/16/2025"/>
    <s v="Thomas Wallace"/>
    <x v="1"/>
    <s v="Dallas"/>
    <x v="21"/>
  </r>
  <r>
    <s v="B-25369"/>
    <n v="3760"/>
    <n v="1849"/>
    <n v="19"/>
    <x v="1"/>
    <x v="5"/>
    <x v="2"/>
    <s v="11/16/2021"/>
    <s v="Mr. Daniel Wilson"/>
    <x v="2"/>
    <s v="Cincinnati"/>
    <x v="28"/>
  </r>
  <r>
    <s v="B-25369"/>
    <n v="3760"/>
    <n v="1849"/>
    <n v="19"/>
    <x v="1"/>
    <x v="5"/>
    <x v="2"/>
    <d v="2024-08-09T00:00:00"/>
    <s v="Julie Smith MD"/>
    <x v="0"/>
    <s v="Rochester"/>
    <x v="39"/>
  </r>
  <r>
    <s v="B-25715"/>
    <n v="3757"/>
    <n v="1626"/>
    <n v="9"/>
    <x v="0"/>
    <x v="7"/>
    <x v="3"/>
    <s v="12/31/2020"/>
    <s v="Alicia Vincent"/>
    <x v="2"/>
    <s v="Cincinnati"/>
    <x v="53"/>
  </r>
  <r>
    <s v="B-25715"/>
    <n v="3757"/>
    <n v="1626"/>
    <n v="9"/>
    <x v="0"/>
    <x v="7"/>
    <x v="3"/>
    <s v="4/15/2022"/>
    <s v="Kenneth Adams"/>
    <x v="2"/>
    <s v="Cleveland"/>
    <x v="1"/>
  </r>
  <r>
    <s v="B-25715"/>
    <n v="3757"/>
    <n v="1626"/>
    <n v="9"/>
    <x v="0"/>
    <x v="7"/>
    <x v="3"/>
    <d v="2023-05-04T00:00:00"/>
    <s v="Shelby Browning"/>
    <x v="5"/>
    <s v="Chicago"/>
    <x v="26"/>
  </r>
  <r>
    <s v="B-26999"/>
    <n v="3756"/>
    <n v="1318"/>
    <n v="5"/>
    <x v="1"/>
    <x v="1"/>
    <x v="3"/>
    <s v="2/19/2024"/>
    <s v="Edward Valencia"/>
    <x v="3"/>
    <s v="Miami"/>
    <x v="16"/>
  </r>
  <r>
    <s v="B-26279"/>
    <n v="3747"/>
    <n v="410"/>
    <n v="5"/>
    <x v="0"/>
    <x v="2"/>
    <x v="4"/>
    <d v="2020-12-07T00:00:00"/>
    <s v="Kristin Alvarez"/>
    <x v="5"/>
    <s v="Springfield"/>
    <x v="31"/>
  </r>
  <r>
    <s v="B-26279"/>
    <n v="3747"/>
    <n v="410"/>
    <n v="5"/>
    <x v="0"/>
    <x v="2"/>
    <x v="4"/>
    <d v="2022-08-12T00:00:00"/>
    <s v="Kevin Jackson"/>
    <x v="0"/>
    <s v="Buffalo"/>
    <x v="9"/>
  </r>
  <r>
    <s v="B-26279"/>
    <n v="3747"/>
    <n v="410"/>
    <n v="5"/>
    <x v="0"/>
    <x v="2"/>
    <x v="4"/>
    <s v="3/27/2024"/>
    <s v="Mrs. Lauren Potter DDS"/>
    <x v="2"/>
    <s v="Columbus"/>
    <x v="40"/>
  </r>
  <r>
    <s v="B-26279"/>
    <n v="3747"/>
    <n v="410"/>
    <n v="5"/>
    <x v="0"/>
    <x v="2"/>
    <x v="4"/>
    <s v="2/17/2023"/>
    <s v="Jason Brown"/>
    <x v="5"/>
    <s v="Chicago"/>
    <x v="51"/>
  </r>
  <r>
    <s v="B-26279"/>
    <n v="3747"/>
    <n v="410"/>
    <n v="5"/>
    <x v="0"/>
    <x v="2"/>
    <x v="4"/>
    <s v="7/21/2021"/>
    <s v="Jamie Santos"/>
    <x v="4"/>
    <s v="Los Angeles"/>
    <x v="14"/>
  </r>
  <r>
    <s v="B-25856"/>
    <n v="3731"/>
    <n v="647"/>
    <n v="1"/>
    <x v="0"/>
    <x v="0"/>
    <x v="4"/>
    <s v="2/28/2023"/>
    <s v="Monica Gibson"/>
    <x v="5"/>
    <s v="Springfield"/>
    <x v="51"/>
  </r>
  <r>
    <s v="B-25394"/>
    <n v="3686"/>
    <n v="760"/>
    <n v="20"/>
    <x v="0"/>
    <x v="0"/>
    <x v="0"/>
    <s v="10/30/2022"/>
    <s v="Tyler Park"/>
    <x v="4"/>
    <s v="San Francisco"/>
    <x v="29"/>
  </r>
  <r>
    <s v="B-25394"/>
    <n v="3686"/>
    <n v="760"/>
    <n v="20"/>
    <x v="0"/>
    <x v="0"/>
    <x v="0"/>
    <s v="1/15/2022"/>
    <s v="Richard Wolfe"/>
    <x v="2"/>
    <s v="Columbus"/>
    <x v="13"/>
  </r>
  <r>
    <s v="B-25842"/>
    <n v="3669"/>
    <n v="154"/>
    <n v="14"/>
    <x v="0"/>
    <x v="2"/>
    <x v="2"/>
    <s v="1/22/2024"/>
    <s v="Christina Conner"/>
    <x v="2"/>
    <s v="Columbus"/>
    <x v="54"/>
  </r>
  <r>
    <s v="B-25842"/>
    <n v="3669"/>
    <n v="154"/>
    <n v="14"/>
    <x v="0"/>
    <x v="2"/>
    <x v="2"/>
    <s v="12/27/2022"/>
    <s v="Luis Luna"/>
    <x v="4"/>
    <s v="San Francisco"/>
    <x v="9"/>
  </r>
  <r>
    <s v="B-26906"/>
    <n v="3665"/>
    <n v="802"/>
    <n v="4"/>
    <x v="0"/>
    <x v="2"/>
    <x v="4"/>
    <d v="2021-09-08T00:00:00"/>
    <s v="Brianna Hunt"/>
    <x v="3"/>
    <s v="Miami"/>
    <x v="30"/>
  </r>
  <r>
    <s v="B-26906"/>
    <n v="3665"/>
    <n v="802"/>
    <n v="4"/>
    <x v="0"/>
    <x v="2"/>
    <x v="4"/>
    <d v="2025-09-02T00:00:00"/>
    <s v="Cathy Clark"/>
    <x v="3"/>
    <s v="Tampa"/>
    <x v="21"/>
  </r>
  <r>
    <s v="B-25532"/>
    <n v="3661"/>
    <n v="436"/>
    <n v="13"/>
    <x v="1"/>
    <x v="4"/>
    <x v="2"/>
    <s v="1/26/2023"/>
    <s v="Brian Young"/>
    <x v="1"/>
    <s v="Austin"/>
    <x v="52"/>
  </r>
  <r>
    <s v="B-25789"/>
    <n v="3659"/>
    <n v="379"/>
    <n v="5"/>
    <x v="1"/>
    <x v="6"/>
    <x v="3"/>
    <s v="6/22/2024"/>
    <s v="John Silva"/>
    <x v="4"/>
    <s v="Los Angeles"/>
    <x v="11"/>
  </r>
  <r>
    <s v="B-26419"/>
    <n v="3657"/>
    <n v="163"/>
    <n v="1"/>
    <x v="1"/>
    <x v="4"/>
    <x v="3"/>
    <s v="5/28/2021"/>
    <s v="John Stevens"/>
    <x v="4"/>
    <s v="San Francisco"/>
    <x v="12"/>
  </r>
  <r>
    <s v="B-26069"/>
    <n v="3577"/>
    <n v="699"/>
    <n v="2"/>
    <x v="1"/>
    <x v="1"/>
    <x v="3"/>
    <s v="1/21/2021"/>
    <s v="Stephen Baker"/>
    <x v="2"/>
    <s v="Columbus"/>
    <x v="60"/>
  </r>
  <r>
    <s v="B-26069"/>
    <n v="3577"/>
    <n v="699"/>
    <n v="2"/>
    <x v="1"/>
    <x v="1"/>
    <x v="3"/>
    <s v="2/28/2022"/>
    <s v="Jeffrey Wilcox"/>
    <x v="5"/>
    <s v="Peoria"/>
    <x v="47"/>
  </r>
  <r>
    <s v="B-26747"/>
    <n v="3574"/>
    <n v="851"/>
    <n v="4"/>
    <x v="2"/>
    <x v="9"/>
    <x v="4"/>
    <s v="2/23/2022"/>
    <s v="Amy Wilson"/>
    <x v="4"/>
    <s v="Los Angeles"/>
    <x v="47"/>
  </r>
  <r>
    <s v="B-26656"/>
    <n v="3573"/>
    <n v="562"/>
    <n v="7"/>
    <x v="0"/>
    <x v="0"/>
    <x v="2"/>
    <d v="2022-12-10T00:00:00"/>
    <s v="Michael Rodriguez"/>
    <x v="0"/>
    <s v="Rochester"/>
    <x v="29"/>
  </r>
  <r>
    <s v="B-26656"/>
    <n v="3573"/>
    <n v="562"/>
    <n v="7"/>
    <x v="0"/>
    <x v="0"/>
    <x v="2"/>
    <s v="5/23/2020"/>
    <s v="Matthew Huff"/>
    <x v="4"/>
    <s v="San Diego"/>
    <x v="48"/>
  </r>
  <r>
    <s v="B-26656"/>
    <n v="3573"/>
    <n v="562"/>
    <n v="7"/>
    <x v="0"/>
    <x v="0"/>
    <x v="2"/>
    <s v="4/18/2020"/>
    <s v="Linda Little"/>
    <x v="3"/>
    <s v="Tampa"/>
    <x v="18"/>
  </r>
  <r>
    <s v="B-25684"/>
    <n v="3560"/>
    <n v="1335"/>
    <n v="15"/>
    <x v="2"/>
    <x v="3"/>
    <x v="1"/>
    <s v="4/29/2020"/>
    <s v="Duane Kelly"/>
    <x v="0"/>
    <s v="New York City"/>
    <x v="18"/>
  </r>
  <r>
    <s v="B-25684"/>
    <n v="3560"/>
    <n v="1335"/>
    <n v="15"/>
    <x v="2"/>
    <x v="3"/>
    <x v="1"/>
    <s v="3/16/2023"/>
    <s v="Frank Reynolds"/>
    <x v="5"/>
    <s v="Springfield"/>
    <x v="7"/>
  </r>
  <r>
    <s v="B-26964"/>
    <n v="3522"/>
    <n v="898"/>
    <n v="15"/>
    <x v="0"/>
    <x v="0"/>
    <x v="4"/>
    <s v="8/29/2024"/>
    <s v="Brandon Kirk"/>
    <x v="2"/>
    <s v="Cleveland"/>
    <x v="57"/>
  </r>
  <r>
    <s v="B-26964"/>
    <n v="3522"/>
    <n v="898"/>
    <n v="15"/>
    <x v="0"/>
    <x v="0"/>
    <x v="4"/>
    <s v="1/14/2022"/>
    <s v="Abigail Brown"/>
    <x v="4"/>
    <s v="Los Angeles"/>
    <x v="13"/>
  </r>
  <r>
    <s v="B-25435"/>
    <n v="3518"/>
    <n v="1051"/>
    <n v="3"/>
    <x v="1"/>
    <x v="6"/>
    <x v="3"/>
    <d v="2020-10-09T00:00:00"/>
    <s v="Paul Scott"/>
    <x v="4"/>
    <s v="San Francisco"/>
    <x v="27"/>
  </r>
  <r>
    <s v="B-25935"/>
    <n v="3482"/>
    <n v="1554"/>
    <n v="15"/>
    <x v="2"/>
    <x v="10"/>
    <x v="0"/>
    <d v="2020-09-09T00:00:00"/>
    <s v="Amanda Kim"/>
    <x v="2"/>
    <s v="Columbus"/>
    <x v="27"/>
  </r>
  <r>
    <s v="B-26466"/>
    <n v="3479"/>
    <n v="1087"/>
    <n v="2"/>
    <x v="0"/>
    <x v="2"/>
    <x v="2"/>
    <s v="10/17/2024"/>
    <s v="Karina Barr"/>
    <x v="1"/>
    <s v="Dallas"/>
    <x v="50"/>
  </r>
  <r>
    <s v="B-26144"/>
    <n v="3461"/>
    <n v="1537"/>
    <n v="15"/>
    <x v="1"/>
    <x v="4"/>
    <x v="2"/>
    <s v="8/23/2024"/>
    <s v="Andrew Griffin"/>
    <x v="5"/>
    <s v="Chicago"/>
    <x v="57"/>
  </r>
  <r>
    <s v="B-26495"/>
    <n v="3451"/>
    <n v="658"/>
    <n v="3"/>
    <x v="0"/>
    <x v="2"/>
    <x v="3"/>
    <s v="12/28/2024"/>
    <s v="Patricia Davis"/>
    <x v="5"/>
    <s v="Chicago"/>
    <x v="34"/>
  </r>
  <r>
    <s v="B-26790"/>
    <n v="3445"/>
    <n v="1405"/>
    <n v="16"/>
    <x v="1"/>
    <x v="4"/>
    <x v="2"/>
    <s v="9/21/2020"/>
    <s v="Jennifer Cooke"/>
    <x v="4"/>
    <s v="San Francisco"/>
    <x v="27"/>
  </r>
  <r>
    <s v="B-25991"/>
    <n v="3436"/>
    <n v="933"/>
    <n v="3"/>
    <x v="2"/>
    <x v="3"/>
    <x v="4"/>
    <s v="6/13/2021"/>
    <s v="Kyle Hernandez"/>
    <x v="1"/>
    <s v="Dallas"/>
    <x v="17"/>
  </r>
  <r>
    <s v="B-25915"/>
    <n v="3433"/>
    <n v="1169"/>
    <n v="10"/>
    <x v="0"/>
    <x v="8"/>
    <x v="1"/>
    <d v="2024-01-02T00:00:00"/>
    <s v="Adam Clark"/>
    <x v="4"/>
    <s v="San Francisco"/>
    <x v="16"/>
  </r>
  <r>
    <s v="B-25915"/>
    <n v="3433"/>
    <n v="1169"/>
    <n v="10"/>
    <x v="0"/>
    <x v="8"/>
    <x v="1"/>
    <d v="2021-09-09T00:00:00"/>
    <s v="Amy Olsen"/>
    <x v="5"/>
    <s v="Springfield"/>
    <x v="58"/>
  </r>
  <r>
    <s v="B-25915"/>
    <n v="3433"/>
    <n v="1169"/>
    <n v="10"/>
    <x v="0"/>
    <x v="8"/>
    <x v="1"/>
    <d v="2021-08-09T00:00:00"/>
    <s v="Stacey Miller"/>
    <x v="4"/>
    <s v="San Diego"/>
    <x v="58"/>
  </r>
  <r>
    <s v="B-25856"/>
    <n v="3428"/>
    <n v="350"/>
    <n v="1"/>
    <x v="1"/>
    <x v="5"/>
    <x v="4"/>
    <s v="2/28/2023"/>
    <s v="Monica Gibson"/>
    <x v="5"/>
    <s v="Springfield"/>
    <x v="51"/>
  </r>
  <r>
    <s v="B-26137"/>
    <n v="3423"/>
    <n v="804"/>
    <n v="4"/>
    <x v="2"/>
    <x v="9"/>
    <x v="4"/>
    <d v="2020-09-07T00:00:00"/>
    <s v="Alan Livingston"/>
    <x v="5"/>
    <s v="Peoria"/>
    <x v="31"/>
  </r>
  <r>
    <s v="B-26137"/>
    <n v="3423"/>
    <n v="804"/>
    <n v="4"/>
    <x v="2"/>
    <x v="9"/>
    <x v="4"/>
    <s v="7/25/2020"/>
    <s v="Angela Jackson"/>
    <x v="1"/>
    <s v="Dallas"/>
    <x v="31"/>
  </r>
  <r>
    <s v="B-26137"/>
    <n v="3423"/>
    <n v="804"/>
    <n v="4"/>
    <x v="2"/>
    <x v="9"/>
    <x v="4"/>
    <s v="1/24/2024"/>
    <s v="Amy Williams"/>
    <x v="1"/>
    <s v="Austin"/>
    <x v="54"/>
  </r>
  <r>
    <s v="B-26137"/>
    <n v="3423"/>
    <n v="804"/>
    <n v="4"/>
    <x v="2"/>
    <x v="9"/>
    <x v="4"/>
    <d v="2020-04-05T00:00:00"/>
    <s v="Laura Jordan"/>
    <x v="1"/>
    <s v="Dallas"/>
    <x v="48"/>
  </r>
  <r>
    <s v="B-26137"/>
    <n v="3423"/>
    <n v="804"/>
    <n v="4"/>
    <x v="2"/>
    <x v="9"/>
    <x v="4"/>
    <s v="11/13/2021"/>
    <s v="Richard Maynard"/>
    <x v="2"/>
    <s v="Cincinnati"/>
    <x v="28"/>
  </r>
  <r>
    <s v="B-25163"/>
    <n v="3411"/>
    <n v="1704"/>
    <n v="14"/>
    <x v="0"/>
    <x v="0"/>
    <x v="3"/>
    <d v="2025-11-01T00:00:00"/>
    <s v="Douglas Reynolds"/>
    <x v="4"/>
    <s v="Los Angeles"/>
    <x v="35"/>
  </r>
  <r>
    <s v="B-26554"/>
    <n v="3409"/>
    <n v="1605"/>
    <n v="20"/>
    <x v="2"/>
    <x v="3"/>
    <x v="3"/>
    <s v="6/16/2024"/>
    <s v="Louis Jimenez"/>
    <x v="3"/>
    <s v="Tampa"/>
    <x v="11"/>
  </r>
  <r>
    <s v="B-26554"/>
    <n v="3409"/>
    <n v="1605"/>
    <n v="20"/>
    <x v="2"/>
    <x v="3"/>
    <x v="3"/>
    <s v="11/21/2020"/>
    <s v="Jessica Jones"/>
    <x v="5"/>
    <s v="Peoria"/>
    <x v="32"/>
  </r>
  <r>
    <s v="B-26554"/>
    <n v="3409"/>
    <n v="1605"/>
    <n v="20"/>
    <x v="2"/>
    <x v="3"/>
    <x v="3"/>
    <d v="2024-01-10T00:00:00"/>
    <s v="Renee Gomez"/>
    <x v="3"/>
    <s v="Miami"/>
    <x v="50"/>
  </r>
  <r>
    <s v="B-26554"/>
    <n v="3409"/>
    <n v="1605"/>
    <n v="20"/>
    <x v="2"/>
    <x v="3"/>
    <x v="3"/>
    <d v="2024-01-07T00:00:00"/>
    <s v="Connie Olson"/>
    <x v="1"/>
    <s v="Houston"/>
    <x v="33"/>
  </r>
  <r>
    <s v="B-26969"/>
    <n v="3348"/>
    <n v="568"/>
    <n v="5"/>
    <x v="0"/>
    <x v="2"/>
    <x v="4"/>
    <d v="2024-02-03T00:00:00"/>
    <s v="Connie Richards"/>
    <x v="2"/>
    <s v="Cleveland"/>
    <x v="40"/>
  </r>
  <r>
    <s v="B-26969"/>
    <n v="3348"/>
    <n v="568"/>
    <n v="5"/>
    <x v="0"/>
    <x v="2"/>
    <x v="4"/>
    <s v="4/30/2021"/>
    <s v="Peter Ward"/>
    <x v="0"/>
    <s v="Rochester"/>
    <x v="8"/>
  </r>
  <r>
    <s v="B-25352"/>
    <n v="3333"/>
    <n v="700"/>
    <n v="18"/>
    <x v="2"/>
    <x v="9"/>
    <x v="1"/>
    <s v="4/17/2023"/>
    <s v="Jacob Stewart"/>
    <x v="3"/>
    <s v="Miami"/>
    <x v="26"/>
  </r>
  <r>
    <s v="B-26817"/>
    <n v="3316"/>
    <n v="126"/>
    <n v="6"/>
    <x v="2"/>
    <x v="10"/>
    <x v="1"/>
    <d v="2020-11-10T00:00:00"/>
    <s v="Debra Townsend"/>
    <x v="2"/>
    <s v="Cincinnati"/>
    <x v="19"/>
  </r>
  <r>
    <s v="B-25192"/>
    <n v="3309"/>
    <n v="177"/>
    <n v="13"/>
    <x v="1"/>
    <x v="6"/>
    <x v="2"/>
    <s v="12/17/2020"/>
    <s v="Ashley Wright"/>
    <x v="2"/>
    <s v="Cleveland"/>
    <x v="53"/>
  </r>
  <r>
    <s v="B-26489"/>
    <n v="3297"/>
    <n v="102"/>
    <n v="12"/>
    <x v="2"/>
    <x v="11"/>
    <x v="4"/>
    <d v="2022-08-10T00:00:00"/>
    <s v="Brett Sutton"/>
    <x v="1"/>
    <s v="Austin"/>
    <x v="29"/>
  </r>
  <r>
    <s v="B-26489"/>
    <n v="3297"/>
    <n v="102"/>
    <n v="12"/>
    <x v="2"/>
    <x v="11"/>
    <x v="4"/>
    <s v="10/27/2023"/>
    <s v="Anna Blackburn"/>
    <x v="2"/>
    <s v="Cincinnati"/>
    <x v="43"/>
  </r>
  <r>
    <s v="B-26489"/>
    <n v="3297"/>
    <n v="102"/>
    <n v="12"/>
    <x v="2"/>
    <x v="11"/>
    <x v="4"/>
    <d v="2021-09-02T00:00:00"/>
    <s v="Michelle Bailey"/>
    <x v="1"/>
    <s v="Dallas"/>
    <x v="42"/>
  </r>
  <r>
    <s v="B-26792"/>
    <n v="3288"/>
    <n v="1477"/>
    <n v="3"/>
    <x v="0"/>
    <x v="0"/>
    <x v="2"/>
    <s v="5/26/2024"/>
    <s v="Andrew Macias"/>
    <x v="1"/>
    <s v="Austin"/>
    <x v="44"/>
  </r>
  <r>
    <s v="B-26792"/>
    <n v="3288"/>
    <n v="1477"/>
    <n v="3"/>
    <x v="0"/>
    <x v="0"/>
    <x v="2"/>
    <s v="2/19/2022"/>
    <s v="Alejandro Williams"/>
    <x v="5"/>
    <s v="Springfield"/>
    <x v="47"/>
  </r>
  <r>
    <s v="B-26800"/>
    <n v="3283"/>
    <n v="71"/>
    <n v="6"/>
    <x v="0"/>
    <x v="0"/>
    <x v="2"/>
    <s v="10/23/2021"/>
    <s v="Anthony Williams"/>
    <x v="0"/>
    <s v="Rochester"/>
    <x v="0"/>
  </r>
  <r>
    <s v="B-26938"/>
    <n v="3281"/>
    <n v="471"/>
    <n v="7"/>
    <x v="1"/>
    <x v="4"/>
    <x v="2"/>
    <s v="12/27/2023"/>
    <s v="Erin Hernandez"/>
    <x v="4"/>
    <s v="Los Angeles"/>
    <x v="15"/>
  </r>
  <r>
    <s v="B-26938"/>
    <n v="3281"/>
    <n v="471"/>
    <n v="7"/>
    <x v="1"/>
    <x v="4"/>
    <x v="2"/>
    <s v="6/25/2023"/>
    <s v="Jacob Guzman"/>
    <x v="5"/>
    <s v="Peoria"/>
    <x v="20"/>
  </r>
  <r>
    <s v="B-25851"/>
    <n v="3273"/>
    <n v="85"/>
    <n v="16"/>
    <x v="2"/>
    <x v="11"/>
    <x v="3"/>
    <s v="3/30/2024"/>
    <s v="Julie Chavez"/>
    <x v="2"/>
    <s v="Cincinnati"/>
    <x v="40"/>
  </r>
  <r>
    <s v="B-26083"/>
    <n v="3265"/>
    <n v="1390"/>
    <n v="16"/>
    <x v="0"/>
    <x v="7"/>
    <x v="4"/>
    <s v="1/17/2024"/>
    <s v="Bethany Harrison"/>
    <x v="4"/>
    <s v="Los Angeles"/>
    <x v="54"/>
  </r>
  <r>
    <s v="B-26537"/>
    <n v="3260"/>
    <n v="207"/>
    <n v="17"/>
    <x v="1"/>
    <x v="1"/>
    <x v="3"/>
    <s v="12/21/2023"/>
    <s v="Tanya Walker"/>
    <x v="4"/>
    <s v="San Diego"/>
    <x v="15"/>
  </r>
  <r>
    <s v="B-25171"/>
    <n v="3234"/>
    <n v="1029"/>
    <n v="20"/>
    <x v="0"/>
    <x v="2"/>
    <x v="4"/>
    <s v="3/20/2022"/>
    <s v="David Figueroa"/>
    <x v="3"/>
    <s v="Miami"/>
    <x v="3"/>
  </r>
  <r>
    <s v="B-26679"/>
    <n v="3234"/>
    <n v="1274"/>
    <n v="10"/>
    <x v="1"/>
    <x v="1"/>
    <x v="2"/>
    <s v="9/14/2023"/>
    <s v="Leonard Gonzalez"/>
    <x v="4"/>
    <s v="San Francisco"/>
    <x v="6"/>
  </r>
  <r>
    <s v="B-26679"/>
    <n v="3234"/>
    <n v="1274"/>
    <n v="10"/>
    <x v="1"/>
    <x v="1"/>
    <x v="2"/>
    <s v="4/29/2020"/>
    <s v="Richard Lee"/>
    <x v="0"/>
    <s v="Buffalo"/>
    <x v="18"/>
  </r>
  <r>
    <s v="B-26679"/>
    <n v="3234"/>
    <n v="1274"/>
    <n v="10"/>
    <x v="1"/>
    <x v="1"/>
    <x v="2"/>
    <s v="12/15/2020"/>
    <s v="Matthew Schroeder"/>
    <x v="2"/>
    <s v="Cleveland"/>
    <x v="53"/>
  </r>
  <r>
    <s v="B-25823"/>
    <n v="3228"/>
    <n v="476"/>
    <n v="9"/>
    <x v="0"/>
    <x v="7"/>
    <x v="1"/>
    <s v="9/29/2022"/>
    <s v="Kathleen Cox"/>
    <x v="0"/>
    <s v="New York City"/>
    <x v="4"/>
  </r>
  <r>
    <s v="B-26258"/>
    <n v="3224"/>
    <n v="1018"/>
    <n v="14"/>
    <x v="0"/>
    <x v="8"/>
    <x v="3"/>
    <s v="10/21/2024"/>
    <s v="Beverly Lamb"/>
    <x v="5"/>
    <s v="Chicago"/>
    <x v="50"/>
  </r>
  <r>
    <s v="B-26496"/>
    <n v="3196"/>
    <n v="1411"/>
    <n v="15"/>
    <x v="0"/>
    <x v="7"/>
    <x v="0"/>
    <d v="2024-09-07T00:00:00"/>
    <s v="Daniel Mosley"/>
    <x v="4"/>
    <s v="Los Angeles"/>
    <x v="33"/>
  </r>
  <r>
    <s v="B-26279"/>
    <n v="3194"/>
    <n v="534"/>
    <n v="4"/>
    <x v="0"/>
    <x v="8"/>
    <x v="3"/>
    <d v="2020-12-07T00:00:00"/>
    <s v="Kristin Alvarez"/>
    <x v="5"/>
    <s v="Springfield"/>
    <x v="31"/>
  </r>
  <r>
    <s v="B-26279"/>
    <n v="3194"/>
    <n v="534"/>
    <n v="4"/>
    <x v="0"/>
    <x v="8"/>
    <x v="3"/>
    <d v="2022-08-12T00:00:00"/>
    <s v="Kevin Jackson"/>
    <x v="0"/>
    <s v="Buffalo"/>
    <x v="9"/>
  </r>
  <r>
    <s v="B-26279"/>
    <n v="3194"/>
    <n v="534"/>
    <n v="4"/>
    <x v="0"/>
    <x v="8"/>
    <x v="3"/>
    <s v="3/27/2024"/>
    <s v="Mrs. Lauren Potter DDS"/>
    <x v="2"/>
    <s v="Columbus"/>
    <x v="40"/>
  </r>
  <r>
    <s v="B-26279"/>
    <n v="3194"/>
    <n v="534"/>
    <n v="4"/>
    <x v="0"/>
    <x v="8"/>
    <x v="3"/>
    <s v="2/17/2023"/>
    <s v="Jason Brown"/>
    <x v="5"/>
    <s v="Chicago"/>
    <x v="51"/>
  </r>
  <r>
    <s v="B-26279"/>
    <n v="3194"/>
    <n v="534"/>
    <n v="4"/>
    <x v="0"/>
    <x v="8"/>
    <x v="3"/>
    <s v="7/21/2021"/>
    <s v="Jamie Santos"/>
    <x v="4"/>
    <s v="Los Angeles"/>
    <x v="14"/>
  </r>
  <r>
    <s v="B-25292"/>
    <n v="3189"/>
    <n v="1180"/>
    <n v="19"/>
    <x v="0"/>
    <x v="7"/>
    <x v="4"/>
    <s v="12/31/2021"/>
    <s v="Michelle Guerra"/>
    <x v="0"/>
    <s v="New York City"/>
    <x v="45"/>
  </r>
  <r>
    <s v="B-26726"/>
    <n v="3176"/>
    <n v="586"/>
    <n v="9"/>
    <x v="1"/>
    <x v="1"/>
    <x v="2"/>
    <s v="8/17/2023"/>
    <s v="Brandon Hughes"/>
    <x v="1"/>
    <s v="Dallas"/>
    <x v="55"/>
  </r>
  <r>
    <s v="B-26726"/>
    <n v="3176"/>
    <n v="586"/>
    <n v="9"/>
    <x v="1"/>
    <x v="1"/>
    <x v="2"/>
    <s v="11/29/2021"/>
    <s v="Lynn Reynolds"/>
    <x v="2"/>
    <s v="Cincinnati"/>
    <x v="28"/>
  </r>
  <r>
    <s v="B-25463"/>
    <n v="3137"/>
    <n v="571"/>
    <n v="9"/>
    <x v="0"/>
    <x v="0"/>
    <x v="0"/>
    <d v="2025-02-02T00:00:00"/>
    <s v="Tina Davies"/>
    <x v="5"/>
    <s v="Chicago"/>
    <x v="21"/>
  </r>
  <r>
    <s v="B-26139"/>
    <n v="3132"/>
    <n v="963"/>
    <n v="1"/>
    <x v="1"/>
    <x v="1"/>
    <x v="0"/>
    <d v="2022-07-10T00:00:00"/>
    <s v="Casey Garcia"/>
    <x v="3"/>
    <s v="Orlando"/>
    <x v="29"/>
  </r>
  <r>
    <s v="B-25483"/>
    <n v="3129"/>
    <n v="55"/>
    <n v="9"/>
    <x v="1"/>
    <x v="6"/>
    <x v="0"/>
    <d v="2021-06-09T00:00:00"/>
    <s v="Carrie Alvarez"/>
    <x v="5"/>
    <s v="Peoria"/>
    <x v="58"/>
  </r>
  <r>
    <s v="B-25464"/>
    <n v="3124"/>
    <n v="138"/>
    <n v="16"/>
    <x v="2"/>
    <x v="11"/>
    <x v="0"/>
    <s v="10/23/2020"/>
    <s v="Melissa Mcknight"/>
    <x v="4"/>
    <s v="Los Angeles"/>
    <x v="19"/>
  </r>
  <r>
    <s v="B-25131"/>
    <n v="3112"/>
    <n v="1065"/>
    <n v="20"/>
    <x v="0"/>
    <x v="8"/>
    <x v="1"/>
    <s v="6/27/2022"/>
    <s v="Timothy Murphy"/>
    <x v="4"/>
    <s v="San Francisco"/>
    <x v="10"/>
  </r>
  <r>
    <s v="B-25223"/>
    <n v="3099"/>
    <n v="479"/>
    <n v="1"/>
    <x v="0"/>
    <x v="7"/>
    <x v="1"/>
    <s v="1/15/2022"/>
    <s v="Heidi Davis"/>
    <x v="0"/>
    <s v="Buffalo"/>
    <x v="13"/>
  </r>
  <r>
    <s v="B-26018"/>
    <n v="3098"/>
    <n v="957"/>
    <n v="18"/>
    <x v="1"/>
    <x v="6"/>
    <x v="1"/>
    <d v="2024-04-07T00:00:00"/>
    <s v="Whitney Stout"/>
    <x v="1"/>
    <s v="Austin"/>
    <x v="33"/>
  </r>
  <r>
    <s v="B-25496"/>
    <n v="3095"/>
    <n v="941"/>
    <n v="2"/>
    <x v="0"/>
    <x v="0"/>
    <x v="2"/>
    <s v="4/19/2022"/>
    <s v="Maria Carroll"/>
    <x v="2"/>
    <s v="Cleveland"/>
    <x v="1"/>
  </r>
  <r>
    <s v="B-25496"/>
    <n v="3095"/>
    <n v="941"/>
    <n v="2"/>
    <x v="0"/>
    <x v="0"/>
    <x v="2"/>
    <d v="2022-11-08T00:00:00"/>
    <s v="Jessica Sloan"/>
    <x v="1"/>
    <s v="Austin"/>
    <x v="2"/>
  </r>
  <r>
    <s v="B-26470"/>
    <n v="3090"/>
    <n v="573"/>
    <n v="6"/>
    <x v="1"/>
    <x v="1"/>
    <x v="2"/>
    <s v="12/27/2024"/>
    <s v="Morgan Montes"/>
    <x v="4"/>
    <s v="San Diego"/>
    <x v="34"/>
  </r>
  <r>
    <s v="B-26470"/>
    <n v="3090"/>
    <n v="573"/>
    <n v="6"/>
    <x v="1"/>
    <x v="1"/>
    <x v="2"/>
    <s v="6/18/2021"/>
    <s v="Christine Mosley"/>
    <x v="2"/>
    <s v="Cincinnati"/>
    <x v="17"/>
  </r>
  <r>
    <s v="B-26470"/>
    <n v="3090"/>
    <n v="573"/>
    <n v="6"/>
    <x v="1"/>
    <x v="1"/>
    <x v="2"/>
    <s v="5/27/2023"/>
    <s v="Ashley Rodriguez"/>
    <x v="1"/>
    <s v="Austin"/>
    <x v="38"/>
  </r>
  <r>
    <s v="B-26470"/>
    <n v="3090"/>
    <n v="573"/>
    <n v="6"/>
    <x v="1"/>
    <x v="1"/>
    <x v="2"/>
    <d v="2021-12-10T00:00:00"/>
    <s v="Elizabeth King"/>
    <x v="1"/>
    <s v="Dallas"/>
    <x v="0"/>
  </r>
  <r>
    <s v="B-26138"/>
    <n v="3084"/>
    <n v="611"/>
    <n v="19"/>
    <x v="1"/>
    <x v="6"/>
    <x v="3"/>
    <s v="5/21/2024"/>
    <s v="Carl Ryan"/>
    <x v="1"/>
    <s v="Dallas"/>
    <x v="44"/>
  </r>
  <r>
    <s v="B-26993"/>
    <n v="3083"/>
    <n v="1151"/>
    <n v="16"/>
    <x v="1"/>
    <x v="6"/>
    <x v="0"/>
    <s v="4/16/2022"/>
    <s v="William Villarreal"/>
    <x v="3"/>
    <s v="Orlando"/>
    <x v="1"/>
  </r>
  <r>
    <s v="B-25707"/>
    <n v="3080"/>
    <n v="737"/>
    <n v="6"/>
    <x v="0"/>
    <x v="8"/>
    <x v="3"/>
    <s v="4/25/2020"/>
    <s v="Kaitlin Brown"/>
    <x v="1"/>
    <s v="Dallas"/>
    <x v="18"/>
  </r>
  <r>
    <s v="B-26740"/>
    <n v="3067"/>
    <n v="1475"/>
    <n v="8"/>
    <x v="2"/>
    <x v="10"/>
    <x v="3"/>
    <s v="9/27/2023"/>
    <s v="Stephanie Manning"/>
    <x v="3"/>
    <s v="Orlando"/>
    <x v="6"/>
  </r>
  <r>
    <s v="B-26740"/>
    <n v="3067"/>
    <n v="1475"/>
    <n v="8"/>
    <x v="2"/>
    <x v="10"/>
    <x v="3"/>
    <s v="1/30/2025"/>
    <s v="Logan Galloway"/>
    <x v="0"/>
    <s v="New York City"/>
    <x v="35"/>
  </r>
  <r>
    <s v="B-26409"/>
    <n v="3024"/>
    <n v="1353"/>
    <n v="1"/>
    <x v="1"/>
    <x v="4"/>
    <x v="4"/>
    <d v="2024-02-05T00:00:00"/>
    <s v="Scott Harris"/>
    <x v="4"/>
    <s v="Los Angeles"/>
    <x v="44"/>
  </r>
  <r>
    <s v="B-26409"/>
    <n v="3024"/>
    <n v="1353"/>
    <n v="1"/>
    <x v="1"/>
    <x v="4"/>
    <x v="4"/>
    <s v="12/28/2021"/>
    <s v="John James"/>
    <x v="2"/>
    <s v="Columbus"/>
    <x v="45"/>
  </r>
  <r>
    <s v="B-25925"/>
    <n v="3022"/>
    <n v="384"/>
    <n v="1"/>
    <x v="0"/>
    <x v="0"/>
    <x v="4"/>
    <d v="2022-11-01T00:00:00"/>
    <s v="Ronald Mckinney"/>
    <x v="1"/>
    <s v="Austin"/>
    <x v="13"/>
  </r>
  <r>
    <s v="B-25925"/>
    <n v="3022"/>
    <n v="384"/>
    <n v="1"/>
    <x v="0"/>
    <x v="0"/>
    <x v="4"/>
    <s v="2/17/2021"/>
    <s v="James Hart"/>
    <x v="5"/>
    <s v="Chicago"/>
    <x v="42"/>
  </r>
  <r>
    <s v="B-26166"/>
    <n v="2999"/>
    <n v="145"/>
    <n v="13"/>
    <x v="0"/>
    <x v="8"/>
    <x v="1"/>
    <s v="8/23/2022"/>
    <s v="Cynthia Wilcox"/>
    <x v="5"/>
    <s v="Chicago"/>
    <x v="2"/>
  </r>
  <r>
    <s v="B-25497"/>
    <n v="2995"/>
    <n v="220"/>
    <n v="14"/>
    <x v="1"/>
    <x v="6"/>
    <x v="4"/>
    <s v="9/13/2024"/>
    <s v="Paul Bryant"/>
    <x v="0"/>
    <s v="Buffalo"/>
    <x v="39"/>
  </r>
  <r>
    <s v="B-25102"/>
    <n v="2975"/>
    <n v="462"/>
    <n v="14"/>
    <x v="0"/>
    <x v="0"/>
    <x v="4"/>
    <s v="3/23/2020"/>
    <s v="Jessica Anderson"/>
    <x v="0"/>
    <s v="New York City"/>
    <x v="49"/>
  </r>
  <r>
    <s v="B-25747"/>
    <n v="2962"/>
    <n v="1470"/>
    <n v="1"/>
    <x v="2"/>
    <x v="11"/>
    <x v="1"/>
    <d v="2021-12-05T00:00:00"/>
    <s v="Jessica Kidd"/>
    <x v="0"/>
    <s v="Buffalo"/>
    <x v="12"/>
  </r>
  <r>
    <s v="B-25747"/>
    <n v="2962"/>
    <n v="1470"/>
    <n v="1"/>
    <x v="2"/>
    <x v="11"/>
    <x v="1"/>
    <s v="9/17/2023"/>
    <s v="Nicholas Martin"/>
    <x v="3"/>
    <s v="Tampa"/>
    <x v="6"/>
  </r>
  <r>
    <s v="B-25330"/>
    <n v="2957"/>
    <n v="917"/>
    <n v="16"/>
    <x v="0"/>
    <x v="0"/>
    <x v="0"/>
    <s v="11/17/2024"/>
    <s v="Katrina Wood"/>
    <x v="5"/>
    <s v="Chicago"/>
    <x v="46"/>
  </r>
  <r>
    <s v="B-25868"/>
    <n v="2944"/>
    <n v="249"/>
    <n v="5"/>
    <x v="0"/>
    <x v="8"/>
    <x v="4"/>
    <s v="8/31/2024"/>
    <s v="Autumn Lee"/>
    <x v="2"/>
    <s v="Columbus"/>
    <x v="57"/>
  </r>
  <r>
    <s v="B-25868"/>
    <n v="2944"/>
    <n v="249"/>
    <n v="5"/>
    <x v="0"/>
    <x v="8"/>
    <x v="4"/>
    <s v="12/26/2022"/>
    <s v="Victoria Duran"/>
    <x v="1"/>
    <s v="Dallas"/>
    <x v="9"/>
  </r>
  <r>
    <s v="B-25104"/>
    <n v="2939"/>
    <n v="894"/>
    <n v="20"/>
    <x v="0"/>
    <x v="8"/>
    <x v="1"/>
    <s v="11/28/2020"/>
    <s v="Paul Raymond"/>
    <x v="4"/>
    <s v="San Diego"/>
    <x v="32"/>
  </r>
  <r>
    <s v="B-25594"/>
    <n v="2931"/>
    <n v="212"/>
    <n v="7"/>
    <x v="2"/>
    <x v="3"/>
    <x v="4"/>
    <s v="6/26/2024"/>
    <s v="Michael Stewart"/>
    <x v="5"/>
    <s v="Peoria"/>
    <x v="11"/>
  </r>
  <r>
    <s v="B-25594"/>
    <n v="2931"/>
    <n v="212"/>
    <n v="7"/>
    <x v="2"/>
    <x v="3"/>
    <x v="4"/>
    <d v="2023-08-12T00:00:00"/>
    <s v="Kevin Johnson"/>
    <x v="3"/>
    <s v="Tampa"/>
    <x v="15"/>
  </r>
  <r>
    <s v="B-25849"/>
    <n v="2901"/>
    <n v="1411"/>
    <n v="2"/>
    <x v="0"/>
    <x v="7"/>
    <x v="0"/>
    <s v="10/26/2021"/>
    <s v="William Russell"/>
    <x v="1"/>
    <s v="Austin"/>
    <x v="0"/>
  </r>
  <r>
    <s v="B-25849"/>
    <n v="2901"/>
    <n v="1411"/>
    <n v="2"/>
    <x v="0"/>
    <x v="7"/>
    <x v="0"/>
    <d v="2023-11-01T00:00:00"/>
    <s v="Sheri Berg"/>
    <x v="4"/>
    <s v="Los Angeles"/>
    <x v="52"/>
  </r>
  <r>
    <s v="B-25251"/>
    <n v="2895"/>
    <n v="104"/>
    <n v="6"/>
    <x v="1"/>
    <x v="5"/>
    <x v="1"/>
    <s v="4/27/2020"/>
    <s v="Donald York"/>
    <x v="0"/>
    <s v="Buffalo"/>
    <x v="18"/>
  </r>
  <r>
    <s v="B-25251"/>
    <n v="2895"/>
    <n v="104"/>
    <n v="6"/>
    <x v="1"/>
    <x v="5"/>
    <x v="1"/>
    <s v="5/13/2024"/>
    <s v="Tiffany Parker"/>
    <x v="1"/>
    <s v="Houston"/>
    <x v="44"/>
  </r>
  <r>
    <s v="B-25730"/>
    <n v="2863"/>
    <n v="205"/>
    <n v="17"/>
    <x v="2"/>
    <x v="11"/>
    <x v="3"/>
    <d v="2022-05-01T00:00:00"/>
    <s v="Justin Rodriguez"/>
    <x v="2"/>
    <s v="Cleveland"/>
    <x v="13"/>
  </r>
  <r>
    <s v="B-25730"/>
    <n v="2863"/>
    <n v="205"/>
    <n v="17"/>
    <x v="2"/>
    <x v="11"/>
    <x v="3"/>
    <s v="10/17/2020"/>
    <s v="Ms. Emily Baxter"/>
    <x v="0"/>
    <s v="Rochester"/>
    <x v="19"/>
  </r>
  <r>
    <s v="B-25730"/>
    <n v="2863"/>
    <n v="205"/>
    <n v="17"/>
    <x v="2"/>
    <x v="11"/>
    <x v="3"/>
    <s v="8/21/2023"/>
    <s v="Austin White"/>
    <x v="4"/>
    <s v="Los Angeles"/>
    <x v="55"/>
  </r>
  <r>
    <s v="B-25916"/>
    <n v="2858"/>
    <n v="230"/>
    <n v="3"/>
    <x v="1"/>
    <x v="1"/>
    <x v="4"/>
    <d v="2022-07-12T00:00:00"/>
    <s v="Christina Davis"/>
    <x v="5"/>
    <s v="Chicago"/>
    <x v="9"/>
  </r>
  <r>
    <s v="B-25916"/>
    <n v="2858"/>
    <n v="230"/>
    <n v="3"/>
    <x v="1"/>
    <x v="1"/>
    <x v="4"/>
    <s v="4/29/2024"/>
    <s v="Claudia Curry"/>
    <x v="1"/>
    <s v="Austin"/>
    <x v="24"/>
  </r>
  <r>
    <s v="B-25762"/>
    <n v="2858"/>
    <n v="482"/>
    <n v="13"/>
    <x v="2"/>
    <x v="3"/>
    <x v="1"/>
    <s v="5/24/2024"/>
    <s v="Jason Wilson"/>
    <x v="1"/>
    <s v="Austin"/>
    <x v="44"/>
  </r>
  <r>
    <s v="B-26523"/>
    <n v="2850"/>
    <n v="904"/>
    <n v="6"/>
    <x v="2"/>
    <x v="11"/>
    <x v="2"/>
    <s v="3/31/2020"/>
    <s v="Jasmine Delgado"/>
    <x v="5"/>
    <s v="Chicago"/>
    <x v="49"/>
  </r>
  <r>
    <s v="B-26523"/>
    <n v="2850"/>
    <n v="904"/>
    <n v="6"/>
    <x v="2"/>
    <x v="11"/>
    <x v="2"/>
    <s v="10/20/2020"/>
    <s v="Kristen Harper"/>
    <x v="0"/>
    <s v="Buffalo"/>
    <x v="19"/>
  </r>
  <r>
    <s v="B-25701"/>
    <n v="2841"/>
    <n v="803"/>
    <n v="20"/>
    <x v="2"/>
    <x v="10"/>
    <x v="4"/>
    <s v="9/13/2023"/>
    <s v="Suzanne Cross"/>
    <x v="1"/>
    <s v="Austin"/>
    <x v="6"/>
  </r>
  <r>
    <s v="B-26794"/>
    <n v="2831"/>
    <n v="1289"/>
    <n v="12"/>
    <x v="1"/>
    <x v="5"/>
    <x v="0"/>
    <d v="2020-02-10T00:00:00"/>
    <s v="Colin Patterson"/>
    <x v="0"/>
    <s v="New York City"/>
    <x v="19"/>
  </r>
  <r>
    <s v="B-26552"/>
    <n v="2804"/>
    <n v="936"/>
    <n v="10"/>
    <x v="2"/>
    <x v="3"/>
    <x v="4"/>
    <d v="2022-06-02T00:00:00"/>
    <s v="Olivia Orozco"/>
    <x v="1"/>
    <s v="Austin"/>
    <x v="47"/>
  </r>
  <r>
    <s v="B-26552"/>
    <n v="2804"/>
    <n v="936"/>
    <n v="10"/>
    <x v="2"/>
    <x v="3"/>
    <x v="4"/>
    <d v="2020-09-11T00:00:00"/>
    <s v="Larry Moore"/>
    <x v="3"/>
    <s v="Tampa"/>
    <x v="32"/>
  </r>
  <r>
    <s v="B-26552"/>
    <n v="2804"/>
    <n v="936"/>
    <n v="10"/>
    <x v="2"/>
    <x v="3"/>
    <x v="4"/>
    <d v="2023-03-05T00:00:00"/>
    <s v="Mrs. Rachel Cannon DDS"/>
    <x v="3"/>
    <s v="Tampa"/>
    <x v="38"/>
  </r>
  <r>
    <s v="B-26032"/>
    <n v="2799"/>
    <n v="1239"/>
    <n v="5"/>
    <x v="1"/>
    <x v="4"/>
    <x v="0"/>
    <s v="8/21/2020"/>
    <s v="Scott Lewis"/>
    <x v="1"/>
    <s v="Houston"/>
    <x v="22"/>
  </r>
  <r>
    <s v="B-26032"/>
    <n v="2799"/>
    <n v="1239"/>
    <n v="5"/>
    <x v="1"/>
    <x v="4"/>
    <x v="0"/>
    <s v="4/17/2023"/>
    <s v="Eric Griffith"/>
    <x v="5"/>
    <s v="Chicago"/>
    <x v="26"/>
  </r>
  <r>
    <s v="B-26032"/>
    <n v="2799"/>
    <n v="1239"/>
    <n v="5"/>
    <x v="1"/>
    <x v="4"/>
    <x v="0"/>
    <s v="12/24/2023"/>
    <s v="Anna Ferguson"/>
    <x v="4"/>
    <s v="San Francisco"/>
    <x v="15"/>
  </r>
  <r>
    <s v="B-25790"/>
    <n v="2792"/>
    <n v="1008"/>
    <n v="8"/>
    <x v="2"/>
    <x v="9"/>
    <x v="1"/>
    <s v="2/14/2021"/>
    <s v="Justin Rosales"/>
    <x v="3"/>
    <s v="Miami"/>
    <x v="42"/>
  </r>
  <r>
    <s v="B-26489"/>
    <n v="2791"/>
    <n v="894"/>
    <n v="14"/>
    <x v="2"/>
    <x v="10"/>
    <x v="1"/>
    <d v="2022-08-10T00:00:00"/>
    <s v="Brett Sutton"/>
    <x v="1"/>
    <s v="Austin"/>
    <x v="29"/>
  </r>
  <r>
    <s v="B-26489"/>
    <n v="2791"/>
    <n v="894"/>
    <n v="14"/>
    <x v="2"/>
    <x v="10"/>
    <x v="1"/>
    <s v="10/27/2023"/>
    <s v="Anna Blackburn"/>
    <x v="2"/>
    <s v="Cincinnati"/>
    <x v="43"/>
  </r>
  <r>
    <s v="B-26489"/>
    <n v="2791"/>
    <n v="894"/>
    <n v="14"/>
    <x v="2"/>
    <x v="10"/>
    <x v="1"/>
    <d v="2021-09-02T00:00:00"/>
    <s v="Michelle Bailey"/>
    <x v="1"/>
    <s v="Dallas"/>
    <x v="42"/>
  </r>
  <r>
    <s v="B-26299"/>
    <n v="2776"/>
    <n v="887"/>
    <n v="9"/>
    <x v="2"/>
    <x v="11"/>
    <x v="0"/>
    <d v="2023-01-03T00:00:00"/>
    <s v="Lauren Harris"/>
    <x v="2"/>
    <s v="Cleveland"/>
    <x v="7"/>
  </r>
  <r>
    <s v="B-26797"/>
    <n v="2759"/>
    <n v="1149"/>
    <n v="6"/>
    <x v="1"/>
    <x v="1"/>
    <x v="4"/>
    <s v="12/27/2024"/>
    <s v="Caitlin Thomas"/>
    <x v="0"/>
    <s v="New York City"/>
    <x v="34"/>
  </r>
  <r>
    <s v="B-26076"/>
    <n v="2750"/>
    <n v="1239"/>
    <n v="11"/>
    <x v="2"/>
    <x v="11"/>
    <x v="0"/>
    <d v="2025-10-03T00:00:00"/>
    <s v="Vanessa Bauer"/>
    <x v="0"/>
    <s v="Buffalo"/>
    <x v="25"/>
  </r>
  <r>
    <s v="B-26076"/>
    <n v="2750"/>
    <n v="1239"/>
    <n v="11"/>
    <x v="2"/>
    <x v="11"/>
    <x v="0"/>
    <s v="9/24/2024"/>
    <s v="Sean Smith"/>
    <x v="2"/>
    <s v="Cleveland"/>
    <x v="39"/>
  </r>
  <r>
    <s v="B-25999"/>
    <n v="2740"/>
    <n v="558"/>
    <n v="8"/>
    <x v="0"/>
    <x v="0"/>
    <x v="3"/>
    <s v="10/28/2023"/>
    <s v="Nancy Boyd"/>
    <x v="2"/>
    <s v="Cincinnati"/>
    <x v="43"/>
  </r>
  <r>
    <s v="B-25999"/>
    <n v="2740"/>
    <n v="558"/>
    <n v="8"/>
    <x v="0"/>
    <x v="0"/>
    <x v="3"/>
    <d v="2025-01-03T00:00:00"/>
    <s v="Raymond Reyes"/>
    <x v="4"/>
    <s v="San Diego"/>
    <x v="25"/>
  </r>
  <r>
    <s v="B-25036"/>
    <n v="2737"/>
    <n v="1253"/>
    <n v="3"/>
    <x v="2"/>
    <x v="9"/>
    <x v="2"/>
    <s v="4/19/2021"/>
    <s v="Joseph Bates"/>
    <x v="0"/>
    <s v="New York City"/>
    <x v="8"/>
  </r>
  <r>
    <s v="B-26526"/>
    <n v="2727"/>
    <n v="543"/>
    <n v="10"/>
    <x v="1"/>
    <x v="6"/>
    <x v="4"/>
    <s v="7/17/2022"/>
    <s v="Emma Scott"/>
    <x v="0"/>
    <s v="Buffalo"/>
    <x v="59"/>
  </r>
  <r>
    <s v="B-26526"/>
    <n v="2727"/>
    <n v="543"/>
    <n v="10"/>
    <x v="1"/>
    <x v="6"/>
    <x v="4"/>
    <d v="2024-05-12T00:00:00"/>
    <s v="Sabrina Buckley"/>
    <x v="0"/>
    <s v="Rochester"/>
    <x v="34"/>
  </r>
  <r>
    <s v="B-25043"/>
    <n v="2727"/>
    <n v="663"/>
    <n v="8"/>
    <x v="2"/>
    <x v="11"/>
    <x v="4"/>
    <d v="2022-07-11T00:00:00"/>
    <s v="Austin Hammond"/>
    <x v="3"/>
    <s v="Miami"/>
    <x v="56"/>
  </r>
  <r>
    <s v="B-26258"/>
    <n v="2710"/>
    <n v="555"/>
    <n v="20"/>
    <x v="2"/>
    <x v="10"/>
    <x v="0"/>
    <s v="10/21/2024"/>
    <s v="Beverly Lamb"/>
    <x v="5"/>
    <s v="Chicago"/>
    <x v="50"/>
  </r>
  <r>
    <s v="B-26613"/>
    <n v="2701"/>
    <n v="322"/>
    <n v="11"/>
    <x v="2"/>
    <x v="9"/>
    <x v="3"/>
    <s v="6/18/2022"/>
    <s v="Amber Moore"/>
    <x v="0"/>
    <s v="New York City"/>
    <x v="10"/>
  </r>
  <r>
    <s v="B-25836"/>
    <n v="2695"/>
    <n v="914"/>
    <n v="15"/>
    <x v="1"/>
    <x v="6"/>
    <x v="0"/>
    <s v="7/28/2022"/>
    <s v="Danielle Mitchell"/>
    <x v="5"/>
    <s v="Peoria"/>
    <x v="59"/>
  </r>
  <r>
    <s v="B-25836"/>
    <n v="2695"/>
    <n v="914"/>
    <n v="15"/>
    <x v="1"/>
    <x v="6"/>
    <x v="0"/>
    <s v="6/17/2021"/>
    <s v="Jesus Hernandez"/>
    <x v="4"/>
    <s v="Los Angeles"/>
    <x v="17"/>
  </r>
  <r>
    <s v="B-26739"/>
    <n v="2689"/>
    <n v="1330"/>
    <n v="3"/>
    <x v="1"/>
    <x v="1"/>
    <x v="3"/>
    <s v="12/13/2020"/>
    <s v="Robert Sexton"/>
    <x v="4"/>
    <s v="Los Angeles"/>
    <x v="53"/>
  </r>
  <r>
    <s v="B-26739"/>
    <n v="2689"/>
    <n v="1330"/>
    <n v="3"/>
    <x v="1"/>
    <x v="1"/>
    <x v="3"/>
    <s v="5/29/2024"/>
    <s v="Brooke Gonzalez"/>
    <x v="3"/>
    <s v="Miami"/>
    <x v="44"/>
  </r>
  <r>
    <s v="B-25809"/>
    <n v="2685"/>
    <n v="379"/>
    <n v="18"/>
    <x v="2"/>
    <x v="11"/>
    <x v="3"/>
    <d v="2022-08-03T00:00:00"/>
    <s v="Kelly Smith"/>
    <x v="2"/>
    <s v="Cleveland"/>
    <x v="3"/>
  </r>
  <r>
    <s v="B-25809"/>
    <n v="2685"/>
    <n v="379"/>
    <n v="18"/>
    <x v="2"/>
    <x v="11"/>
    <x v="3"/>
    <d v="2022-08-12T00:00:00"/>
    <s v="Sabrina Hartman"/>
    <x v="3"/>
    <s v="Tampa"/>
    <x v="9"/>
  </r>
  <r>
    <s v="B-26287"/>
    <n v="2684"/>
    <n v="670"/>
    <n v="2"/>
    <x v="0"/>
    <x v="7"/>
    <x v="1"/>
    <d v="2024-02-07T00:00:00"/>
    <s v="Renee Solomon"/>
    <x v="3"/>
    <s v="Tampa"/>
    <x v="33"/>
  </r>
  <r>
    <s v="B-25873"/>
    <n v="2684"/>
    <n v="713"/>
    <n v="2"/>
    <x v="2"/>
    <x v="3"/>
    <x v="3"/>
    <s v="6/15/2024"/>
    <s v="Meghan Ballard"/>
    <x v="0"/>
    <s v="New York City"/>
    <x v="11"/>
  </r>
  <r>
    <s v="B-25873"/>
    <n v="2684"/>
    <n v="713"/>
    <n v="2"/>
    <x v="2"/>
    <x v="3"/>
    <x v="3"/>
    <d v="2022-05-06T00:00:00"/>
    <s v="Brian Wheeler"/>
    <x v="0"/>
    <s v="Buffalo"/>
    <x v="10"/>
  </r>
  <r>
    <s v="B-25873"/>
    <n v="2684"/>
    <n v="713"/>
    <n v="2"/>
    <x v="2"/>
    <x v="3"/>
    <x v="3"/>
    <d v="2020-11-05T00:00:00"/>
    <s v="William Rosario"/>
    <x v="1"/>
    <s v="Dallas"/>
    <x v="48"/>
  </r>
  <r>
    <s v="B-25919"/>
    <n v="2670"/>
    <n v="1026"/>
    <n v="1"/>
    <x v="2"/>
    <x v="10"/>
    <x v="0"/>
    <s v="9/30/2020"/>
    <s v="Jillian Williams"/>
    <x v="4"/>
    <s v="San Diego"/>
    <x v="27"/>
  </r>
  <r>
    <s v="B-25919"/>
    <n v="2670"/>
    <n v="1026"/>
    <n v="1"/>
    <x v="2"/>
    <x v="10"/>
    <x v="0"/>
    <s v="2/20/2025"/>
    <s v="Rebekah Carter"/>
    <x v="3"/>
    <s v="Orlando"/>
    <x v="21"/>
  </r>
  <r>
    <s v="B-25919"/>
    <n v="2670"/>
    <n v="1026"/>
    <n v="1"/>
    <x v="2"/>
    <x v="10"/>
    <x v="0"/>
    <s v="3/20/2022"/>
    <s v="Jonathan Reed"/>
    <x v="4"/>
    <s v="San Francisco"/>
    <x v="3"/>
  </r>
  <r>
    <s v="B-25526"/>
    <n v="2666"/>
    <n v="559"/>
    <n v="14"/>
    <x v="1"/>
    <x v="5"/>
    <x v="1"/>
    <s v="7/16/2022"/>
    <s v="Hannah Hendricks"/>
    <x v="2"/>
    <s v="Cleveland"/>
    <x v="59"/>
  </r>
  <r>
    <s v="B-26528"/>
    <n v="2663"/>
    <n v="64"/>
    <n v="19"/>
    <x v="1"/>
    <x v="4"/>
    <x v="1"/>
    <s v="6/16/2024"/>
    <s v="Donald Hernandez"/>
    <x v="4"/>
    <s v="San Francisco"/>
    <x v="11"/>
  </r>
  <r>
    <s v="B-26528"/>
    <n v="2663"/>
    <n v="64"/>
    <n v="19"/>
    <x v="1"/>
    <x v="4"/>
    <x v="1"/>
    <s v="10/23/2021"/>
    <s v="Megan Davis"/>
    <x v="2"/>
    <s v="Cleveland"/>
    <x v="0"/>
  </r>
  <r>
    <s v="B-26598"/>
    <n v="2636"/>
    <n v="88"/>
    <n v="11"/>
    <x v="0"/>
    <x v="7"/>
    <x v="0"/>
    <s v="3/27/2024"/>
    <s v="Jessica Barajas"/>
    <x v="5"/>
    <s v="Peoria"/>
    <x v="40"/>
  </r>
  <r>
    <s v="B-26598"/>
    <n v="2636"/>
    <n v="88"/>
    <n v="11"/>
    <x v="0"/>
    <x v="7"/>
    <x v="0"/>
    <d v="2024-01-09T00:00:00"/>
    <s v="Jamie Jimenez"/>
    <x v="0"/>
    <s v="Buffalo"/>
    <x v="39"/>
  </r>
  <r>
    <s v="B-26598"/>
    <n v="2636"/>
    <n v="88"/>
    <n v="11"/>
    <x v="0"/>
    <x v="7"/>
    <x v="0"/>
    <s v="2/22/2022"/>
    <s v="James Carter"/>
    <x v="2"/>
    <s v="Columbus"/>
    <x v="47"/>
  </r>
  <r>
    <s v="B-25492"/>
    <n v="2596"/>
    <n v="1003"/>
    <n v="19"/>
    <x v="0"/>
    <x v="7"/>
    <x v="4"/>
    <s v="12/14/2021"/>
    <s v="Tina Blake"/>
    <x v="0"/>
    <s v="Buffalo"/>
    <x v="45"/>
  </r>
  <r>
    <s v="B-25492"/>
    <n v="2596"/>
    <n v="1003"/>
    <n v="19"/>
    <x v="0"/>
    <x v="7"/>
    <x v="4"/>
    <s v="11/30/2020"/>
    <s v="Clarence Cooke"/>
    <x v="4"/>
    <s v="San Francisco"/>
    <x v="32"/>
  </r>
  <r>
    <s v="B-25819"/>
    <n v="2589"/>
    <n v="605"/>
    <n v="11"/>
    <x v="0"/>
    <x v="0"/>
    <x v="2"/>
    <d v="2023-02-11T00:00:00"/>
    <s v="Robert Rojas"/>
    <x v="4"/>
    <s v="San Francisco"/>
    <x v="37"/>
  </r>
  <r>
    <s v="B-25819"/>
    <n v="2589"/>
    <n v="605"/>
    <n v="11"/>
    <x v="0"/>
    <x v="0"/>
    <x v="2"/>
    <d v="2024-05-10T00:00:00"/>
    <s v="Eric Johnson"/>
    <x v="2"/>
    <s v="Cleveland"/>
    <x v="50"/>
  </r>
  <r>
    <s v="B-25872"/>
    <n v="2588"/>
    <n v="705"/>
    <n v="16"/>
    <x v="0"/>
    <x v="0"/>
    <x v="4"/>
    <s v="4/13/2020"/>
    <s v="Shelly Sweeney"/>
    <x v="0"/>
    <s v="New York City"/>
    <x v="18"/>
  </r>
  <r>
    <s v="B-25715"/>
    <n v="2586"/>
    <n v="800"/>
    <n v="16"/>
    <x v="1"/>
    <x v="1"/>
    <x v="3"/>
    <s v="12/31/2020"/>
    <s v="Alicia Vincent"/>
    <x v="2"/>
    <s v="Cincinnati"/>
    <x v="53"/>
  </r>
  <r>
    <s v="B-25715"/>
    <n v="2586"/>
    <n v="800"/>
    <n v="16"/>
    <x v="1"/>
    <x v="1"/>
    <x v="3"/>
    <s v="4/15/2022"/>
    <s v="Kenneth Adams"/>
    <x v="2"/>
    <s v="Cleveland"/>
    <x v="1"/>
  </r>
  <r>
    <s v="B-25715"/>
    <n v="2586"/>
    <n v="800"/>
    <n v="16"/>
    <x v="1"/>
    <x v="1"/>
    <x v="3"/>
    <d v="2023-05-04T00:00:00"/>
    <s v="Shelby Browning"/>
    <x v="5"/>
    <s v="Chicago"/>
    <x v="26"/>
  </r>
  <r>
    <s v="B-26046"/>
    <n v="2565"/>
    <n v="983"/>
    <n v="20"/>
    <x v="2"/>
    <x v="3"/>
    <x v="0"/>
    <d v="2022-05-12T00:00:00"/>
    <s v="Charles Moore"/>
    <x v="3"/>
    <s v="Miami"/>
    <x v="9"/>
  </r>
  <r>
    <s v="B-26928"/>
    <n v="2553"/>
    <n v="907"/>
    <n v="6"/>
    <x v="2"/>
    <x v="10"/>
    <x v="4"/>
    <s v="6/22/2023"/>
    <s v="William Carr"/>
    <x v="1"/>
    <s v="Dallas"/>
    <x v="20"/>
  </r>
  <r>
    <s v="B-26478"/>
    <n v="2542"/>
    <n v="190"/>
    <n v="1"/>
    <x v="0"/>
    <x v="2"/>
    <x v="4"/>
    <s v="4/21/2022"/>
    <s v="James Tanner"/>
    <x v="1"/>
    <s v="Houston"/>
    <x v="1"/>
  </r>
  <r>
    <s v="B-26864"/>
    <n v="2539"/>
    <n v="324"/>
    <n v="5"/>
    <x v="2"/>
    <x v="3"/>
    <x v="3"/>
    <s v="1/30/2021"/>
    <s v="Collin Cameron"/>
    <x v="4"/>
    <s v="San Francisco"/>
    <x v="60"/>
  </r>
  <r>
    <s v="B-25223"/>
    <n v="2521"/>
    <n v="906"/>
    <n v="7"/>
    <x v="2"/>
    <x v="11"/>
    <x v="1"/>
    <s v="1/15/2022"/>
    <s v="Heidi Davis"/>
    <x v="0"/>
    <s v="Buffalo"/>
    <x v="13"/>
  </r>
  <r>
    <s v="B-25890"/>
    <n v="2516"/>
    <n v="734"/>
    <n v="19"/>
    <x v="1"/>
    <x v="5"/>
    <x v="3"/>
    <d v="2023-12-11T00:00:00"/>
    <s v="Jacqueline Hubbard"/>
    <x v="0"/>
    <s v="New York City"/>
    <x v="37"/>
  </r>
  <r>
    <s v="B-25331"/>
    <n v="2514"/>
    <n v="95"/>
    <n v="8"/>
    <x v="0"/>
    <x v="0"/>
    <x v="3"/>
    <s v="7/17/2023"/>
    <s v="Miguel Alvarez"/>
    <x v="0"/>
    <s v="Rochester"/>
    <x v="23"/>
  </r>
  <r>
    <s v="B-25464"/>
    <n v="2504"/>
    <n v="440"/>
    <n v="18"/>
    <x v="2"/>
    <x v="9"/>
    <x v="3"/>
    <s v="10/23/2020"/>
    <s v="Melissa Mcknight"/>
    <x v="4"/>
    <s v="Los Angeles"/>
    <x v="19"/>
  </r>
  <r>
    <s v="B-25044"/>
    <n v="2493"/>
    <n v="1221"/>
    <n v="9"/>
    <x v="0"/>
    <x v="7"/>
    <x v="4"/>
    <s v="4/16/2024"/>
    <s v="April Welch"/>
    <x v="5"/>
    <s v="Springfield"/>
    <x v="24"/>
  </r>
  <r>
    <s v="B-26287"/>
    <n v="2483"/>
    <n v="236"/>
    <n v="2"/>
    <x v="2"/>
    <x v="3"/>
    <x v="1"/>
    <d v="2024-02-07T00:00:00"/>
    <s v="Renee Solomon"/>
    <x v="3"/>
    <s v="Tampa"/>
    <x v="33"/>
  </r>
  <r>
    <s v="B-25510"/>
    <n v="2478"/>
    <n v="92"/>
    <n v="12"/>
    <x v="1"/>
    <x v="6"/>
    <x v="1"/>
    <d v="2023-08-05T00:00:00"/>
    <s v="Jason Randolph"/>
    <x v="4"/>
    <s v="San Francisco"/>
    <x v="38"/>
  </r>
  <r>
    <s v="B-25510"/>
    <n v="2478"/>
    <n v="92"/>
    <n v="12"/>
    <x v="1"/>
    <x v="6"/>
    <x v="1"/>
    <d v="2021-03-03T00:00:00"/>
    <s v="Laura Andrews"/>
    <x v="0"/>
    <s v="New York City"/>
    <x v="36"/>
  </r>
  <r>
    <s v="B-25510"/>
    <n v="2478"/>
    <n v="92"/>
    <n v="12"/>
    <x v="1"/>
    <x v="6"/>
    <x v="1"/>
    <s v="3/18/2021"/>
    <s v="Mrs. Stephanie Hooper"/>
    <x v="4"/>
    <s v="San Francisco"/>
    <x v="36"/>
  </r>
  <r>
    <s v="B-25510"/>
    <n v="2478"/>
    <n v="92"/>
    <n v="12"/>
    <x v="1"/>
    <x v="6"/>
    <x v="1"/>
    <s v="4/24/2023"/>
    <s v="Anthony Evans"/>
    <x v="2"/>
    <s v="Cleveland"/>
    <x v="26"/>
  </r>
  <r>
    <s v="B-25317"/>
    <n v="2472"/>
    <n v="211"/>
    <n v="5"/>
    <x v="2"/>
    <x v="9"/>
    <x v="1"/>
    <s v="6/21/2020"/>
    <s v="Sharon Russell"/>
    <x v="4"/>
    <s v="San Diego"/>
    <x v="5"/>
  </r>
  <r>
    <s v="B-26885"/>
    <n v="2468"/>
    <n v="418"/>
    <n v="4"/>
    <x v="2"/>
    <x v="10"/>
    <x v="4"/>
    <s v="2/20/2024"/>
    <s v="Peter Castro"/>
    <x v="1"/>
    <s v="Dallas"/>
    <x v="16"/>
  </r>
  <r>
    <s v="B-25413"/>
    <n v="2465"/>
    <n v="699"/>
    <n v="18"/>
    <x v="0"/>
    <x v="2"/>
    <x v="0"/>
    <s v="5/22/2020"/>
    <s v="James Williams"/>
    <x v="4"/>
    <s v="San Francisco"/>
    <x v="48"/>
  </r>
  <r>
    <s v="B-25988"/>
    <n v="2463"/>
    <n v="648"/>
    <n v="18"/>
    <x v="1"/>
    <x v="1"/>
    <x v="2"/>
    <s v="9/19/2022"/>
    <s v="Connie Holmes"/>
    <x v="2"/>
    <s v="Cincinnati"/>
    <x v="4"/>
  </r>
  <r>
    <s v="B-25564"/>
    <n v="2451"/>
    <n v="342"/>
    <n v="8"/>
    <x v="0"/>
    <x v="7"/>
    <x v="2"/>
    <d v="2021-06-09T00:00:00"/>
    <s v="Susan Wright"/>
    <x v="4"/>
    <s v="Los Angeles"/>
    <x v="58"/>
  </r>
  <r>
    <s v="B-25564"/>
    <n v="2451"/>
    <n v="342"/>
    <n v="8"/>
    <x v="0"/>
    <x v="7"/>
    <x v="2"/>
    <d v="2021-12-11T00:00:00"/>
    <s v="Kayla Banks"/>
    <x v="2"/>
    <s v="Cincinnati"/>
    <x v="28"/>
  </r>
  <r>
    <s v="B-25564"/>
    <n v="2451"/>
    <n v="342"/>
    <n v="8"/>
    <x v="0"/>
    <x v="7"/>
    <x v="2"/>
    <s v="7/30/2024"/>
    <s v="Zachary Pierce"/>
    <x v="1"/>
    <s v="Houston"/>
    <x v="33"/>
  </r>
  <r>
    <s v="B-26586"/>
    <n v="2450"/>
    <n v="1002"/>
    <n v="4"/>
    <x v="2"/>
    <x v="11"/>
    <x v="0"/>
    <s v="6/26/2023"/>
    <s v="Michael Gallegos"/>
    <x v="4"/>
    <s v="Los Angeles"/>
    <x v="20"/>
  </r>
  <r>
    <s v="B-26586"/>
    <n v="2450"/>
    <n v="1002"/>
    <n v="4"/>
    <x v="2"/>
    <x v="11"/>
    <x v="0"/>
    <s v="9/30/2023"/>
    <s v="Robert Daniels"/>
    <x v="5"/>
    <s v="Chicago"/>
    <x v="6"/>
  </r>
  <r>
    <s v="B-26035"/>
    <n v="2404"/>
    <n v="253"/>
    <n v="15"/>
    <x v="2"/>
    <x v="10"/>
    <x v="1"/>
    <s v="12/31/2021"/>
    <s v="Megan Mack"/>
    <x v="1"/>
    <s v="Austin"/>
    <x v="45"/>
  </r>
  <r>
    <s v="B-25541"/>
    <n v="2401"/>
    <n v="1163"/>
    <n v="10"/>
    <x v="1"/>
    <x v="6"/>
    <x v="3"/>
    <d v="2023-04-05T00:00:00"/>
    <s v="April Marquez"/>
    <x v="2"/>
    <s v="Cleveland"/>
    <x v="38"/>
  </r>
  <r>
    <s v="B-25541"/>
    <n v="2401"/>
    <n v="1163"/>
    <n v="10"/>
    <x v="1"/>
    <x v="6"/>
    <x v="3"/>
    <s v="4/22/2020"/>
    <s v="Joseph Guerrero"/>
    <x v="4"/>
    <s v="Los Angeles"/>
    <x v="18"/>
  </r>
  <r>
    <s v="B-25541"/>
    <n v="2401"/>
    <n v="1163"/>
    <n v="10"/>
    <x v="1"/>
    <x v="6"/>
    <x v="3"/>
    <s v="8/13/2021"/>
    <s v="Michael Hanson"/>
    <x v="0"/>
    <s v="Rochester"/>
    <x v="30"/>
  </r>
  <r>
    <s v="B-26661"/>
    <n v="2386"/>
    <n v="999"/>
    <n v="3"/>
    <x v="0"/>
    <x v="0"/>
    <x v="1"/>
    <s v="2/13/2024"/>
    <s v="Jason Norman"/>
    <x v="3"/>
    <s v="Miami"/>
    <x v="16"/>
  </r>
  <r>
    <s v="B-25763"/>
    <n v="2379"/>
    <n v="279"/>
    <n v="7"/>
    <x v="1"/>
    <x v="5"/>
    <x v="0"/>
    <s v="1/18/2022"/>
    <s v="Clayton Lara"/>
    <x v="3"/>
    <s v="Miami"/>
    <x v="13"/>
  </r>
  <r>
    <s v="B-25763"/>
    <n v="2349"/>
    <n v="319"/>
    <n v="4"/>
    <x v="0"/>
    <x v="0"/>
    <x v="3"/>
    <s v="1/18/2022"/>
    <s v="Clayton Lara"/>
    <x v="3"/>
    <s v="Miami"/>
    <x v="13"/>
  </r>
  <r>
    <s v="B-25232"/>
    <n v="2346"/>
    <n v="388"/>
    <n v="14"/>
    <x v="1"/>
    <x v="5"/>
    <x v="0"/>
    <d v="2021-12-02T00:00:00"/>
    <s v="Darren Moore"/>
    <x v="5"/>
    <s v="Peoria"/>
    <x v="42"/>
  </r>
  <r>
    <s v="B-25232"/>
    <n v="2346"/>
    <n v="388"/>
    <n v="14"/>
    <x v="1"/>
    <x v="5"/>
    <x v="0"/>
    <s v="12/27/2022"/>
    <s v="Stephanie Thomas"/>
    <x v="0"/>
    <s v="Rochester"/>
    <x v="9"/>
  </r>
  <r>
    <s v="B-25232"/>
    <n v="2346"/>
    <n v="388"/>
    <n v="14"/>
    <x v="1"/>
    <x v="5"/>
    <x v="0"/>
    <s v="1/19/2024"/>
    <s v="Kristy Hernandez"/>
    <x v="4"/>
    <s v="San Diego"/>
    <x v="54"/>
  </r>
  <r>
    <s v="B-25560"/>
    <n v="2334"/>
    <n v="484"/>
    <n v="3"/>
    <x v="1"/>
    <x v="4"/>
    <x v="4"/>
    <s v="7/13/2023"/>
    <s v="Andrew Allen"/>
    <x v="4"/>
    <s v="San Diego"/>
    <x v="23"/>
  </r>
  <r>
    <s v="B-25549"/>
    <n v="2328"/>
    <n v="788"/>
    <n v="4"/>
    <x v="0"/>
    <x v="7"/>
    <x v="3"/>
    <s v="7/30/2023"/>
    <s v="Amy Duran MD"/>
    <x v="3"/>
    <s v="Orlando"/>
    <x v="23"/>
  </r>
  <r>
    <s v="B-26277"/>
    <n v="2323"/>
    <n v="727"/>
    <n v="7"/>
    <x v="1"/>
    <x v="1"/>
    <x v="1"/>
    <s v="2/24/2022"/>
    <s v="Matthew Harris"/>
    <x v="1"/>
    <s v="Dallas"/>
    <x v="47"/>
  </r>
  <r>
    <s v="B-25203"/>
    <n v="2321"/>
    <n v="505"/>
    <n v="6"/>
    <x v="1"/>
    <x v="5"/>
    <x v="2"/>
    <d v="2022-04-10T00:00:00"/>
    <s v="Daniel Flowers"/>
    <x v="5"/>
    <s v="Springfield"/>
    <x v="29"/>
  </r>
  <r>
    <s v="B-26317"/>
    <n v="2284"/>
    <n v="149"/>
    <n v="20"/>
    <x v="0"/>
    <x v="0"/>
    <x v="0"/>
    <d v="2021-06-08T00:00:00"/>
    <s v="Laura Poole"/>
    <x v="0"/>
    <s v="Rochester"/>
    <x v="30"/>
  </r>
  <r>
    <s v="B-25713"/>
    <n v="2280"/>
    <n v="509"/>
    <n v="8"/>
    <x v="2"/>
    <x v="11"/>
    <x v="4"/>
    <d v="2021-03-01T00:00:00"/>
    <s v="Peggy Campos"/>
    <x v="0"/>
    <s v="Buffalo"/>
    <x v="60"/>
  </r>
  <r>
    <s v="B-26393"/>
    <n v="2258"/>
    <n v="135"/>
    <n v="18"/>
    <x v="2"/>
    <x v="9"/>
    <x v="4"/>
    <d v="2024-07-02T00:00:00"/>
    <s v="Ashley Palmer"/>
    <x v="3"/>
    <s v="Miami"/>
    <x v="16"/>
  </r>
  <r>
    <s v="B-26393"/>
    <n v="2258"/>
    <n v="135"/>
    <n v="18"/>
    <x v="2"/>
    <x v="9"/>
    <x v="4"/>
    <s v="8/19/2022"/>
    <s v="Stephen Hogan"/>
    <x v="4"/>
    <s v="San Diego"/>
    <x v="2"/>
  </r>
  <r>
    <s v="B-26586"/>
    <n v="2239"/>
    <n v="828"/>
    <n v="1"/>
    <x v="2"/>
    <x v="9"/>
    <x v="3"/>
    <s v="6/26/2023"/>
    <s v="Michael Gallegos"/>
    <x v="4"/>
    <s v="Los Angeles"/>
    <x v="20"/>
  </r>
  <r>
    <s v="B-26586"/>
    <n v="2239"/>
    <n v="828"/>
    <n v="1"/>
    <x v="2"/>
    <x v="9"/>
    <x v="3"/>
    <s v="9/30/2023"/>
    <s v="Robert Daniels"/>
    <x v="5"/>
    <s v="Chicago"/>
    <x v="6"/>
  </r>
  <r>
    <s v="B-26146"/>
    <n v="2239"/>
    <n v="1094"/>
    <n v="18"/>
    <x v="2"/>
    <x v="9"/>
    <x v="1"/>
    <s v="7/28/2024"/>
    <s v="Megan Charles"/>
    <x v="3"/>
    <s v="Tampa"/>
    <x v="33"/>
  </r>
  <r>
    <s v="B-26622"/>
    <n v="2225"/>
    <n v="589"/>
    <n v="7"/>
    <x v="1"/>
    <x v="4"/>
    <x v="4"/>
    <d v="2020-02-04T00:00:00"/>
    <s v="Timothy Jensen"/>
    <x v="3"/>
    <s v="Orlando"/>
    <x v="18"/>
  </r>
  <r>
    <s v="B-26898"/>
    <n v="2174"/>
    <n v="265"/>
    <n v="19"/>
    <x v="0"/>
    <x v="0"/>
    <x v="4"/>
    <d v="2022-11-04T00:00:00"/>
    <s v="Dean Avila"/>
    <x v="2"/>
    <s v="Cincinnati"/>
    <x v="1"/>
  </r>
  <r>
    <s v="B-25919"/>
    <n v="2140"/>
    <n v="970"/>
    <n v="4"/>
    <x v="0"/>
    <x v="7"/>
    <x v="4"/>
    <s v="9/30/2020"/>
    <s v="Jillian Williams"/>
    <x v="4"/>
    <s v="San Diego"/>
    <x v="27"/>
  </r>
  <r>
    <s v="B-25919"/>
    <n v="2140"/>
    <n v="970"/>
    <n v="4"/>
    <x v="0"/>
    <x v="7"/>
    <x v="4"/>
    <s v="2/20/2025"/>
    <s v="Rebekah Carter"/>
    <x v="3"/>
    <s v="Orlando"/>
    <x v="21"/>
  </r>
  <r>
    <s v="B-25919"/>
    <n v="2140"/>
    <n v="970"/>
    <n v="4"/>
    <x v="0"/>
    <x v="7"/>
    <x v="4"/>
    <s v="3/20/2022"/>
    <s v="Jonathan Reed"/>
    <x v="4"/>
    <s v="San Francisco"/>
    <x v="3"/>
  </r>
  <r>
    <s v="B-26794"/>
    <n v="2137"/>
    <n v="638"/>
    <n v="12"/>
    <x v="1"/>
    <x v="6"/>
    <x v="0"/>
    <d v="2020-02-10T00:00:00"/>
    <s v="Colin Patterson"/>
    <x v="0"/>
    <s v="New York City"/>
    <x v="19"/>
  </r>
  <r>
    <s v="B-25573"/>
    <n v="2119"/>
    <n v="196"/>
    <n v="1"/>
    <x v="1"/>
    <x v="4"/>
    <x v="1"/>
    <s v="8/16/2020"/>
    <s v="Heather Johnson"/>
    <x v="4"/>
    <s v="Los Angeles"/>
    <x v="22"/>
  </r>
  <r>
    <s v="B-26988"/>
    <n v="2109"/>
    <n v="681"/>
    <n v="20"/>
    <x v="2"/>
    <x v="3"/>
    <x v="3"/>
    <d v="2021-03-12T00:00:00"/>
    <s v="Ms. Barbara Cervantes"/>
    <x v="0"/>
    <s v="Rochester"/>
    <x v="45"/>
  </r>
  <r>
    <s v="B-26120"/>
    <n v="2101"/>
    <n v="287"/>
    <n v="8"/>
    <x v="0"/>
    <x v="0"/>
    <x v="1"/>
    <d v="2020-04-07T00:00:00"/>
    <s v="Kimberly Fuller"/>
    <x v="2"/>
    <s v="Cleveland"/>
    <x v="31"/>
  </r>
  <r>
    <s v="B-26120"/>
    <n v="2101"/>
    <n v="287"/>
    <n v="8"/>
    <x v="0"/>
    <x v="0"/>
    <x v="1"/>
    <d v="2023-09-04T00:00:00"/>
    <s v="Erica Scott"/>
    <x v="5"/>
    <s v="Chicago"/>
    <x v="26"/>
  </r>
  <r>
    <s v="B-26298"/>
    <n v="2082"/>
    <n v="642"/>
    <n v="8"/>
    <x v="2"/>
    <x v="11"/>
    <x v="2"/>
    <d v="2020-02-06T00:00:00"/>
    <s v="Caitlin Hunt"/>
    <x v="0"/>
    <s v="Rochester"/>
    <x v="5"/>
  </r>
  <r>
    <s v="B-26298"/>
    <n v="2082"/>
    <n v="642"/>
    <n v="8"/>
    <x v="2"/>
    <x v="11"/>
    <x v="2"/>
    <s v="12/15/2022"/>
    <s v="Jenna Holland"/>
    <x v="1"/>
    <s v="Austin"/>
    <x v="9"/>
  </r>
  <r>
    <s v="B-26298"/>
    <n v="2082"/>
    <n v="642"/>
    <n v="8"/>
    <x v="2"/>
    <x v="11"/>
    <x v="2"/>
    <d v="2020-07-08T00:00:00"/>
    <s v="Stephanie Oconnell"/>
    <x v="0"/>
    <s v="Buffalo"/>
    <x v="22"/>
  </r>
  <r>
    <s v="B-26735"/>
    <n v="2078"/>
    <n v="612"/>
    <n v="6"/>
    <x v="2"/>
    <x v="10"/>
    <x v="1"/>
    <s v="1/25/2022"/>
    <s v="Bruce Dennis"/>
    <x v="1"/>
    <s v="Austin"/>
    <x v="13"/>
  </r>
  <r>
    <s v="B-26321"/>
    <n v="2062"/>
    <n v="848"/>
    <n v="6"/>
    <x v="0"/>
    <x v="2"/>
    <x v="4"/>
    <d v="2024-04-03T00:00:00"/>
    <s v="Christine Wheeler"/>
    <x v="3"/>
    <s v="Tampa"/>
    <x v="40"/>
  </r>
  <r>
    <s v="B-26945"/>
    <n v="2054"/>
    <n v="371"/>
    <n v="12"/>
    <x v="0"/>
    <x v="2"/>
    <x v="2"/>
    <s v="12/21/2022"/>
    <s v="Aaron Jones"/>
    <x v="1"/>
    <s v="Austin"/>
    <x v="9"/>
  </r>
  <r>
    <s v="B-25497"/>
    <n v="2047"/>
    <n v="914"/>
    <n v="5"/>
    <x v="0"/>
    <x v="2"/>
    <x v="0"/>
    <s v="9/13/2024"/>
    <s v="Paul Bryant"/>
    <x v="0"/>
    <s v="Buffalo"/>
    <x v="39"/>
  </r>
  <r>
    <s v="B-25295"/>
    <n v="2025"/>
    <n v="528"/>
    <n v="1"/>
    <x v="0"/>
    <x v="0"/>
    <x v="4"/>
    <s v="1/28/2024"/>
    <s v="Paul Rogers"/>
    <x v="3"/>
    <s v="Miami"/>
    <x v="54"/>
  </r>
  <r>
    <s v="B-26225"/>
    <n v="1992"/>
    <n v="355"/>
    <n v="2"/>
    <x v="2"/>
    <x v="11"/>
    <x v="1"/>
    <s v="12/14/2024"/>
    <s v="William Beck"/>
    <x v="3"/>
    <s v="Tampa"/>
    <x v="34"/>
  </r>
  <r>
    <s v="B-25028"/>
    <n v="1961"/>
    <n v="59"/>
    <n v="12"/>
    <x v="0"/>
    <x v="8"/>
    <x v="3"/>
    <d v="2020-09-08T00:00:00"/>
    <s v="Samantha Williams"/>
    <x v="3"/>
    <s v="Orlando"/>
    <x v="22"/>
  </r>
  <r>
    <s v="B-25410"/>
    <n v="1954"/>
    <n v="294"/>
    <n v="7"/>
    <x v="1"/>
    <x v="4"/>
    <x v="0"/>
    <s v="12/23/2022"/>
    <s v="Jessica Baker"/>
    <x v="1"/>
    <s v="Austin"/>
    <x v="9"/>
  </r>
  <r>
    <s v="B-26898"/>
    <n v="1931"/>
    <n v="551"/>
    <n v="3"/>
    <x v="1"/>
    <x v="6"/>
    <x v="2"/>
    <d v="2022-11-04T00:00:00"/>
    <s v="Dean Avila"/>
    <x v="2"/>
    <s v="Cincinnati"/>
    <x v="1"/>
  </r>
  <r>
    <s v="B-26365"/>
    <n v="1895"/>
    <n v="391"/>
    <n v="14"/>
    <x v="1"/>
    <x v="1"/>
    <x v="3"/>
    <d v="2024-05-07T00:00:00"/>
    <s v="Mr. Curtis Bailey"/>
    <x v="3"/>
    <s v="Tampa"/>
    <x v="33"/>
  </r>
  <r>
    <s v="B-25810"/>
    <n v="1894"/>
    <n v="275"/>
    <n v="5"/>
    <x v="1"/>
    <x v="5"/>
    <x v="4"/>
    <s v="11/27/2021"/>
    <s v="Kendra Mckinney"/>
    <x v="3"/>
    <s v="Miami"/>
    <x v="28"/>
  </r>
  <r>
    <s v="B-26698"/>
    <n v="1860"/>
    <n v="457"/>
    <n v="13"/>
    <x v="2"/>
    <x v="9"/>
    <x v="2"/>
    <s v="9/20/2023"/>
    <s v="Susan Ramirez"/>
    <x v="2"/>
    <s v="Cleveland"/>
    <x v="6"/>
  </r>
  <r>
    <s v="B-26026"/>
    <n v="1843"/>
    <n v="248"/>
    <n v="3"/>
    <x v="2"/>
    <x v="11"/>
    <x v="4"/>
    <d v="2024-12-12T00:00:00"/>
    <s v="Kelsey Castaneda"/>
    <x v="2"/>
    <s v="Cleveland"/>
    <x v="34"/>
  </r>
  <r>
    <s v="B-26026"/>
    <n v="1843"/>
    <n v="248"/>
    <n v="3"/>
    <x v="2"/>
    <x v="11"/>
    <x v="4"/>
    <d v="2023-06-04T00:00:00"/>
    <s v="Katherine Harris"/>
    <x v="4"/>
    <s v="Los Angeles"/>
    <x v="26"/>
  </r>
  <r>
    <s v="B-26572"/>
    <n v="1818"/>
    <n v="738"/>
    <n v="11"/>
    <x v="0"/>
    <x v="2"/>
    <x v="2"/>
    <s v="8/20/2022"/>
    <s v="Austin Davis"/>
    <x v="4"/>
    <s v="San Diego"/>
    <x v="2"/>
  </r>
  <r>
    <s v="B-26572"/>
    <n v="1818"/>
    <n v="738"/>
    <n v="11"/>
    <x v="0"/>
    <x v="2"/>
    <x v="2"/>
    <s v="11/25/2024"/>
    <s v="Mark Roy"/>
    <x v="4"/>
    <s v="San Francisco"/>
    <x v="46"/>
  </r>
  <r>
    <s v="B-26496"/>
    <n v="1801"/>
    <n v="641"/>
    <n v="20"/>
    <x v="0"/>
    <x v="2"/>
    <x v="4"/>
    <d v="2024-09-07T00:00:00"/>
    <s v="Daniel Mosley"/>
    <x v="4"/>
    <s v="Los Angeles"/>
    <x v="33"/>
  </r>
  <r>
    <s v="B-25827"/>
    <n v="1786"/>
    <n v="224"/>
    <n v="4"/>
    <x v="1"/>
    <x v="1"/>
    <x v="1"/>
    <s v="8/17/2021"/>
    <s v="Amanda Ramirez"/>
    <x v="1"/>
    <s v="Dallas"/>
    <x v="30"/>
  </r>
  <r>
    <s v="B-25138"/>
    <n v="1778"/>
    <n v="285"/>
    <n v="4"/>
    <x v="0"/>
    <x v="0"/>
    <x v="4"/>
    <d v="2020-04-07T00:00:00"/>
    <s v="Sylvia Jenkins"/>
    <x v="0"/>
    <s v="New York City"/>
    <x v="31"/>
  </r>
  <r>
    <s v="B-26312"/>
    <n v="1760"/>
    <n v="619"/>
    <n v="16"/>
    <x v="1"/>
    <x v="4"/>
    <x v="0"/>
    <s v="9/15/2021"/>
    <s v="Jonathan Alvarez"/>
    <x v="2"/>
    <s v="Columbus"/>
    <x v="58"/>
  </r>
  <r>
    <s v="B-26312"/>
    <n v="1760"/>
    <n v="619"/>
    <n v="16"/>
    <x v="1"/>
    <x v="4"/>
    <x v="0"/>
    <s v="1/28/2023"/>
    <s v="Becky Hodges"/>
    <x v="1"/>
    <s v="Houston"/>
    <x v="52"/>
  </r>
  <r>
    <s v="B-26259"/>
    <n v="1757"/>
    <n v="622"/>
    <n v="10"/>
    <x v="1"/>
    <x v="5"/>
    <x v="3"/>
    <s v="3/29/2022"/>
    <s v="Douglas Mcfarland"/>
    <x v="2"/>
    <s v="Cleveland"/>
    <x v="3"/>
  </r>
  <r>
    <s v="B-26259"/>
    <n v="1757"/>
    <n v="622"/>
    <n v="10"/>
    <x v="1"/>
    <x v="5"/>
    <x v="3"/>
    <s v="11/20/2022"/>
    <s v="Kayla Ross"/>
    <x v="5"/>
    <s v="Peoria"/>
    <x v="56"/>
  </r>
  <r>
    <s v="B-26975"/>
    <n v="1755"/>
    <n v="495"/>
    <n v="18"/>
    <x v="0"/>
    <x v="0"/>
    <x v="3"/>
    <s v="6/23/2024"/>
    <s v="Elizabeth Gonzalez"/>
    <x v="4"/>
    <s v="San Diego"/>
    <x v="11"/>
  </r>
  <r>
    <s v="B-26654"/>
    <n v="1733"/>
    <n v="133"/>
    <n v="17"/>
    <x v="0"/>
    <x v="7"/>
    <x v="0"/>
    <s v="2/18/2021"/>
    <s v="Mrs. Jennifer Lewis"/>
    <x v="4"/>
    <s v="San Francisco"/>
    <x v="42"/>
  </r>
  <r>
    <s v="B-25552"/>
    <n v="1732"/>
    <n v="766"/>
    <n v="7"/>
    <x v="0"/>
    <x v="8"/>
    <x v="3"/>
    <s v="2/28/2023"/>
    <s v="Danny Ramirez"/>
    <x v="0"/>
    <s v="New York City"/>
    <x v="51"/>
  </r>
  <r>
    <s v="B-26293"/>
    <n v="1731"/>
    <n v="149"/>
    <n v="4"/>
    <x v="2"/>
    <x v="10"/>
    <x v="2"/>
    <s v="11/26/2021"/>
    <s v="Michael Hunt"/>
    <x v="1"/>
    <s v="Dallas"/>
    <x v="28"/>
  </r>
  <r>
    <s v="B-25744"/>
    <n v="1689"/>
    <n v="109"/>
    <n v="9"/>
    <x v="2"/>
    <x v="3"/>
    <x v="3"/>
    <s v="1/14/2022"/>
    <s v="Sherry Tran"/>
    <x v="0"/>
    <s v="Buffalo"/>
    <x v="13"/>
  </r>
  <r>
    <s v="B-26299"/>
    <n v="1676"/>
    <n v="330"/>
    <n v="14"/>
    <x v="2"/>
    <x v="10"/>
    <x v="2"/>
    <d v="2023-01-03T00:00:00"/>
    <s v="Lauren Harris"/>
    <x v="2"/>
    <s v="Cleveland"/>
    <x v="7"/>
  </r>
  <r>
    <s v="B-25101"/>
    <n v="1638"/>
    <n v="661"/>
    <n v="13"/>
    <x v="1"/>
    <x v="5"/>
    <x v="2"/>
    <s v="11/25/2023"/>
    <s v="Steven Steele"/>
    <x v="5"/>
    <s v="Springfield"/>
    <x v="37"/>
  </r>
  <r>
    <s v="B-26510"/>
    <n v="1629"/>
    <n v="265"/>
    <n v="1"/>
    <x v="0"/>
    <x v="7"/>
    <x v="3"/>
    <d v="2025-11-02T00:00:00"/>
    <s v="Douglas Pennington"/>
    <x v="1"/>
    <s v="Dallas"/>
    <x v="21"/>
  </r>
  <r>
    <s v="B-26510"/>
    <n v="1629"/>
    <n v="265"/>
    <n v="1"/>
    <x v="0"/>
    <x v="7"/>
    <x v="3"/>
    <s v="1/23/2024"/>
    <s v="Ricardo Andrews"/>
    <x v="4"/>
    <s v="San Diego"/>
    <x v="54"/>
  </r>
  <r>
    <s v="B-25529"/>
    <n v="1626"/>
    <n v="258"/>
    <n v="15"/>
    <x v="0"/>
    <x v="0"/>
    <x v="2"/>
    <d v="2021-07-06T00:00:00"/>
    <s v="Edward Johnson"/>
    <x v="3"/>
    <s v="Orlando"/>
    <x v="17"/>
  </r>
  <r>
    <s v="B-26026"/>
    <n v="1603"/>
    <n v="361"/>
    <n v="10"/>
    <x v="0"/>
    <x v="0"/>
    <x v="0"/>
    <d v="2024-12-12T00:00:00"/>
    <s v="Kelsey Castaneda"/>
    <x v="2"/>
    <s v="Cleveland"/>
    <x v="34"/>
  </r>
  <r>
    <s v="B-26026"/>
    <n v="1603"/>
    <n v="361"/>
    <n v="10"/>
    <x v="0"/>
    <x v="0"/>
    <x v="0"/>
    <d v="2023-06-04T00:00:00"/>
    <s v="Katherine Harris"/>
    <x v="4"/>
    <s v="Los Angeles"/>
    <x v="26"/>
  </r>
  <r>
    <s v="B-26965"/>
    <n v="1592"/>
    <n v="480"/>
    <n v="13"/>
    <x v="2"/>
    <x v="10"/>
    <x v="0"/>
    <s v="1/18/2022"/>
    <s v="Jordan Krause"/>
    <x v="2"/>
    <s v="Cleveland"/>
    <x v="13"/>
  </r>
  <r>
    <s v="B-26185"/>
    <n v="1591"/>
    <n v="727"/>
    <n v="5"/>
    <x v="2"/>
    <x v="3"/>
    <x v="4"/>
    <s v="6/27/2022"/>
    <s v="Emily Gill"/>
    <x v="5"/>
    <s v="Springfield"/>
    <x v="10"/>
  </r>
  <r>
    <s v="B-26185"/>
    <n v="1591"/>
    <n v="727"/>
    <n v="5"/>
    <x v="2"/>
    <x v="3"/>
    <x v="4"/>
    <s v="3/14/2021"/>
    <s v="Brian Patrick"/>
    <x v="3"/>
    <s v="Tampa"/>
    <x v="36"/>
  </r>
  <r>
    <s v="B-26185"/>
    <n v="1591"/>
    <n v="727"/>
    <n v="5"/>
    <x v="2"/>
    <x v="3"/>
    <x v="4"/>
    <s v="2/23/2022"/>
    <s v="Dr. Sarah Booth"/>
    <x v="2"/>
    <s v="Cincinnati"/>
    <x v="47"/>
  </r>
  <r>
    <s v="B-25369"/>
    <n v="1579"/>
    <n v="602"/>
    <n v="9"/>
    <x v="2"/>
    <x v="10"/>
    <x v="4"/>
    <s v="5/24/2020"/>
    <s v="Lauren Jones"/>
    <x v="2"/>
    <s v="Cincinnati"/>
    <x v="48"/>
  </r>
  <r>
    <s v="B-25369"/>
    <n v="1579"/>
    <n v="602"/>
    <n v="9"/>
    <x v="2"/>
    <x v="10"/>
    <x v="4"/>
    <s v="2/16/2025"/>
    <s v="Thomas Wallace"/>
    <x v="1"/>
    <s v="Dallas"/>
    <x v="21"/>
  </r>
  <r>
    <s v="B-25369"/>
    <n v="1579"/>
    <n v="602"/>
    <n v="9"/>
    <x v="2"/>
    <x v="10"/>
    <x v="4"/>
    <s v="11/16/2021"/>
    <s v="Mr. Daniel Wilson"/>
    <x v="2"/>
    <s v="Cincinnati"/>
    <x v="28"/>
  </r>
  <r>
    <s v="B-25369"/>
    <n v="1579"/>
    <n v="602"/>
    <n v="9"/>
    <x v="2"/>
    <x v="10"/>
    <x v="4"/>
    <d v="2024-08-09T00:00:00"/>
    <s v="Julie Smith MD"/>
    <x v="0"/>
    <s v="Rochester"/>
    <x v="39"/>
  </r>
  <r>
    <s v="B-25424"/>
    <n v="1574"/>
    <n v="258"/>
    <n v="17"/>
    <x v="0"/>
    <x v="0"/>
    <x v="2"/>
    <s v="9/15/2020"/>
    <s v="Jill Perez"/>
    <x v="4"/>
    <s v="San Diego"/>
    <x v="27"/>
  </r>
  <r>
    <s v="B-25495"/>
    <n v="1564"/>
    <n v="674"/>
    <n v="13"/>
    <x v="2"/>
    <x v="3"/>
    <x v="0"/>
    <d v="2022-12-10T00:00:00"/>
    <s v="Sandra Hicks"/>
    <x v="4"/>
    <s v="San Diego"/>
    <x v="29"/>
  </r>
  <r>
    <s v="B-26804"/>
    <n v="1548"/>
    <n v="666"/>
    <n v="3"/>
    <x v="0"/>
    <x v="7"/>
    <x v="4"/>
    <d v="2021-03-01T00:00:00"/>
    <s v="Morgan Sellers"/>
    <x v="4"/>
    <s v="Los Angeles"/>
    <x v="60"/>
  </r>
  <r>
    <s v="B-26942"/>
    <n v="1525"/>
    <n v="185"/>
    <n v="12"/>
    <x v="0"/>
    <x v="0"/>
    <x v="0"/>
    <d v="2024-11-05T00:00:00"/>
    <s v="John Fields"/>
    <x v="3"/>
    <s v="Orlando"/>
    <x v="44"/>
  </r>
  <r>
    <s v="B-26942"/>
    <n v="1525"/>
    <n v="185"/>
    <n v="12"/>
    <x v="0"/>
    <x v="0"/>
    <x v="0"/>
    <d v="2021-09-10T00:00:00"/>
    <s v="Clayton Smith"/>
    <x v="3"/>
    <s v="Miami"/>
    <x v="0"/>
  </r>
  <r>
    <s v="B-26213"/>
    <n v="1523"/>
    <n v="234"/>
    <n v="3"/>
    <x v="1"/>
    <x v="4"/>
    <x v="3"/>
    <d v="2023-08-06T00:00:00"/>
    <s v="Terri Madden"/>
    <x v="0"/>
    <s v="Rochester"/>
    <x v="20"/>
  </r>
  <r>
    <s v="B-26672"/>
    <n v="1518"/>
    <n v="155"/>
    <n v="13"/>
    <x v="0"/>
    <x v="2"/>
    <x v="4"/>
    <s v="9/18/2023"/>
    <s v="Renee Robinson"/>
    <x v="2"/>
    <s v="Columbus"/>
    <x v="6"/>
  </r>
  <r>
    <s v="B-26023"/>
    <n v="1518"/>
    <n v="159"/>
    <n v="19"/>
    <x v="2"/>
    <x v="9"/>
    <x v="3"/>
    <s v="9/26/2020"/>
    <s v="Stephanie Gardner"/>
    <x v="4"/>
    <s v="San Diego"/>
    <x v="27"/>
  </r>
  <r>
    <s v="B-25441"/>
    <n v="1496"/>
    <n v="662"/>
    <n v="17"/>
    <x v="1"/>
    <x v="6"/>
    <x v="3"/>
    <s v="6/24/2022"/>
    <s v="Jeffrey Weber"/>
    <x v="0"/>
    <s v="Buffalo"/>
    <x v="10"/>
  </r>
  <r>
    <s v="B-25441"/>
    <n v="1496"/>
    <n v="662"/>
    <n v="17"/>
    <x v="1"/>
    <x v="6"/>
    <x v="3"/>
    <d v="2024-08-06T00:00:00"/>
    <s v="Andrew Krueger"/>
    <x v="0"/>
    <s v="Rochester"/>
    <x v="11"/>
  </r>
  <r>
    <s v="B-26837"/>
    <n v="1486"/>
    <n v="114"/>
    <n v="7"/>
    <x v="1"/>
    <x v="6"/>
    <x v="3"/>
    <d v="2021-08-07T00:00:00"/>
    <s v="Larry Hill"/>
    <x v="0"/>
    <s v="New York City"/>
    <x v="14"/>
  </r>
  <r>
    <s v="B-26837"/>
    <n v="1486"/>
    <n v="114"/>
    <n v="7"/>
    <x v="1"/>
    <x v="6"/>
    <x v="3"/>
    <d v="2020-08-04T00:00:00"/>
    <s v="Amber Moon"/>
    <x v="2"/>
    <s v="Cleveland"/>
    <x v="18"/>
  </r>
  <r>
    <s v="B-26112"/>
    <n v="1476"/>
    <n v="247"/>
    <n v="5"/>
    <x v="1"/>
    <x v="6"/>
    <x v="1"/>
    <s v="11/18/2023"/>
    <s v="Jacob Martinez"/>
    <x v="4"/>
    <s v="Los Angeles"/>
    <x v="37"/>
  </r>
  <r>
    <s v="B-26112"/>
    <n v="1476"/>
    <n v="247"/>
    <n v="5"/>
    <x v="1"/>
    <x v="6"/>
    <x v="1"/>
    <s v="1/19/2022"/>
    <s v="Raymond Burgess"/>
    <x v="4"/>
    <s v="San Diego"/>
    <x v="13"/>
  </r>
  <r>
    <s v="B-25964"/>
    <n v="1454"/>
    <n v="80"/>
    <n v="20"/>
    <x v="2"/>
    <x v="3"/>
    <x v="4"/>
    <s v="7/22/2022"/>
    <s v="Vincent Perez"/>
    <x v="0"/>
    <s v="Rochester"/>
    <x v="59"/>
  </r>
  <r>
    <s v="B-25182"/>
    <n v="1397"/>
    <n v="686"/>
    <n v="11"/>
    <x v="1"/>
    <x v="5"/>
    <x v="4"/>
    <d v="2021-07-12T00:00:00"/>
    <s v="Natalie Maxwell"/>
    <x v="0"/>
    <s v="New York City"/>
    <x v="45"/>
  </r>
  <r>
    <s v="B-25488"/>
    <n v="1388"/>
    <n v="345"/>
    <n v="5"/>
    <x v="1"/>
    <x v="4"/>
    <x v="3"/>
    <d v="2024-05-10T00:00:00"/>
    <s v="Christopher Thomas"/>
    <x v="0"/>
    <s v="New York City"/>
    <x v="50"/>
  </r>
  <r>
    <s v="B-25060"/>
    <n v="1379"/>
    <n v="250"/>
    <n v="3"/>
    <x v="0"/>
    <x v="0"/>
    <x v="4"/>
    <d v="2020-08-10T00:00:00"/>
    <s v="Jonathan Mcmillan"/>
    <x v="0"/>
    <s v="Buffalo"/>
    <x v="19"/>
  </r>
  <r>
    <s v="B-26277"/>
    <n v="1368"/>
    <n v="406"/>
    <n v="9"/>
    <x v="1"/>
    <x v="6"/>
    <x v="3"/>
    <s v="2/24/2022"/>
    <s v="Matthew Harris"/>
    <x v="1"/>
    <s v="Dallas"/>
    <x v="47"/>
  </r>
  <r>
    <s v="B-26672"/>
    <n v="1366"/>
    <n v="242"/>
    <n v="17"/>
    <x v="2"/>
    <x v="3"/>
    <x v="2"/>
    <s v="9/18/2023"/>
    <s v="Renee Robinson"/>
    <x v="2"/>
    <s v="Columbus"/>
    <x v="6"/>
  </r>
  <r>
    <s v="B-26556"/>
    <n v="1341"/>
    <n v="615"/>
    <n v="4"/>
    <x v="2"/>
    <x v="10"/>
    <x v="3"/>
    <d v="2022-12-08T00:00:00"/>
    <s v="Kimberly Greene"/>
    <x v="3"/>
    <s v="Orlando"/>
    <x v="2"/>
  </r>
  <r>
    <s v="B-26716"/>
    <n v="1314"/>
    <n v="490"/>
    <n v="16"/>
    <x v="1"/>
    <x v="4"/>
    <x v="3"/>
    <s v="11/20/2021"/>
    <s v="Marcus Santiago"/>
    <x v="0"/>
    <s v="Buffalo"/>
    <x v="28"/>
  </r>
  <r>
    <s v="B-25986"/>
    <n v="1314"/>
    <n v="457"/>
    <n v="8"/>
    <x v="1"/>
    <x v="4"/>
    <x v="2"/>
    <d v="2021-11-06T00:00:00"/>
    <s v="Tyrone White"/>
    <x v="4"/>
    <s v="San Diego"/>
    <x v="17"/>
  </r>
  <r>
    <s v="B-26564"/>
    <n v="1297"/>
    <n v="600"/>
    <n v="7"/>
    <x v="0"/>
    <x v="8"/>
    <x v="4"/>
    <s v="2/16/2024"/>
    <s v="Daryl Miles"/>
    <x v="3"/>
    <s v="Orlando"/>
    <x v="16"/>
  </r>
  <r>
    <s v="B-25658"/>
    <n v="1290"/>
    <n v="204"/>
    <n v="12"/>
    <x v="0"/>
    <x v="2"/>
    <x v="3"/>
    <s v="6/15/2024"/>
    <s v="Alison Martin"/>
    <x v="0"/>
    <s v="Buffalo"/>
    <x v="11"/>
  </r>
  <r>
    <s v="B-25658"/>
    <n v="1290"/>
    <n v="204"/>
    <n v="12"/>
    <x v="0"/>
    <x v="2"/>
    <x v="3"/>
    <s v="12/19/2024"/>
    <s v="Samuel Wallace"/>
    <x v="4"/>
    <s v="San Francisco"/>
    <x v="34"/>
  </r>
  <r>
    <s v="B-26035"/>
    <n v="1281"/>
    <n v="340"/>
    <n v="3"/>
    <x v="2"/>
    <x v="3"/>
    <x v="0"/>
    <s v="12/31/2021"/>
    <s v="Megan Mack"/>
    <x v="1"/>
    <s v="Austin"/>
    <x v="45"/>
  </r>
  <r>
    <s v="B-25695"/>
    <n v="1262"/>
    <n v="515"/>
    <n v="16"/>
    <x v="2"/>
    <x v="3"/>
    <x v="2"/>
    <s v="12/17/2022"/>
    <s v="Rebecca Wright"/>
    <x v="0"/>
    <s v="Rochester"/>
    <x v="9"/>
  </r>
  <r>
    <s v="B-25695"/>
    <n v="1262"/>
    <n v="515"/>
    <n v="16"/>
    <x v="2"/>
    <x v="3"/>
    <x v="2"/>
    <d v="2022-08-06T00:00:00"/>
    <s v="Sarah Flores"/>
    <x v="5"/>
    <s v="Springfield"/>
    <x v="10"/>
  </r>
  <r>
    <s v="B-25842"/>
    <n v="1248"/>
    <n v="584"/>
    <n v="13"/>
    <x v="0"/>
    <x v="0"/>
    <x v="2"/>
    <s v="1/22/2024"/>
    <s v="Christina Conner"/>
    <x v="2"/>
    <s v="Columbus"/>
    <x v="54"/>
  </r>
  <r>
    <s v="B-25842"/>
    <n v="1248"/>
    <n v="584"/>
    <n v="13"/>
    <x v="0"/>
    <x v="0"/>
    <x v="2"/>
    <s v="12/27/2022"/>
    <s v="Luis Luna"/>
    <x v="4"/>
    <s v="San Francisco"/>
    <x v="9"/>
  </r>
  <r>
    <s v="B-25695"/>
    <n v="1239"/>
    <n v="575"/>
    <n v="17"/>
    <x v="2"/>
    <x v="10"/>
    <x v="3"/>
    <s v="12/17/2022"/>
    <s v="Rebecca Wright"/>
    <x v="0"/>
    <s v="Rochester"/>
    <x v="9"/>
  </r>
  <r>
    <s v="B-25695"/>
    <n v="1239"/>
    <n v="575"/>
    <n v="17"/>
    <x v="2"/>
    <x v="10"/>
    <x v="3"/>
    <d v="2022-08-06T00:00:00"/>
    <s v="Sarah Flores"/>
    <x v="5"/>
    <s v="Springfield"/>
    <x v="10"/>
  </r>
  <r>
    <s v="B-26453"/>
    <n v="1231"/>
    <n v="214"/>
    <n v="20"/>
    <x v="2"/>
    <x v="10"/>
    <x v="0"/>
    <s v="1/17/2023"/>
    <s v="Courtney Williams"/>
    <x v="2"/>
    <s v="Columbus"/>
    <x v="52"/>
  </r>
  <r>
    <s v="B-26453"/>
    <n v="1231"/>
    <n v="214"/>
    <n v="20"/>
    <x v="2"/>
    <x v="10"/>
    <x v="0"/>
    <s v="6/16/2020"/>
    <s v="Jordan Hahn"/>
    <x v="0"/>
    <s v="Rochester"/>
    <x v="5"/>
  </r>
  <r>
    <s v="B-25372"/>
    <n v="1217"/>
    <n v="151"/>
    <n v="3"/>
    <x v="1"/>
    <x v="1"/>
    <x v="4"/>
    <s v="11/16/2020"/>
    <s v="Heather Jenkins"/>
    <x v="0"/>
    <s v="Buffalo"/>
    <x v="32"/>
  </r>
  <r>
    <s v="B-25701"/>
    <n v="1167"/>
    <n v="463"/>
    <n v="5"/>
    <x v="0"/>
    <x v="0"/>
    <x v="3"/>
    <s v="9/13/2023"/>
    <s v="Suzanne Cross"/>
    <x v="1"/>
    <s v="Austin"/>
    <x v="6"/>
  </r>
  <r>
    <s v="B-26496"/>
    <n v="1166"/>
    <n v="520"/>
    <n v="12"/>
    <x v="0"/>
    <x v="7"/>
    <x v="0"/>
    <d v="2024-09-07T00:00:00"/>
    <s v="Daniel Mosley"/>
    <x v="4"/>
    <s v="Los Angeles"/>
    <x v="33"/>
  </r>
  <r>
    <s v="B-25983"/>
    <n v="1166"/>
    <n v="349"/>
    <n v="11"/>
    <x v="1"/>
    <x v="1"/>
    <x v="4"/>
    <s v="5/19/2024"/>
    <s v="Jeffrey Kline"/>
    <x v="3"/>
    <s v="Miami"/>
    <x v="44"/>
  </r>
  <r>
    <s v="B-25983"/>
    <n v="1166"/>
    <n v="349"/>
    <n v="11"/>
    <x v="1"/>
    <x v="1"/>
    <x v="4"/>
    <s v="5/14/2020"/>
    <s v="Ryan Bullock"/>
    <x v="3"/>
    <s v="Tampa"/>
    <x v="48"/>
  </r>
  <r>
    <s v="B-26469"/>
    <n v="1165"/>
    <n v="51"/>
    <n v="3"/>
    <x v="0"/>
    <x v="0"/>
    <x v="2"/>
    <s v="3/24/2021"/>
    <s v="Eric Clark"/>
    <x v="3"/>
    <s v="Orlando"/>
    <x v="36"/>
  </r>
  <r>
    <s v="B-26916"/>
    <n v="1165"/>
    <n v="302"/>
    <n v="20"/>
    <x v="1"/>
    <x v="4"/>
    <x v="3"/>
    <s v="10/21/2022"/>
    <s v="Kaylee Glover"/>
    <x v="5"/>
    <s v="Springfield"/>
    <x v="29"/>
  </r>
  <r>
    <s v="B-26916"/>
    <n v="1165"/>
    <n v="302"/>
    <n v="20"/>
    <x v="1"/>
    <x v="4"/>
    <x v="3"/>
    <s v="10/21/2020"/>
    <s v="Pamela Patterson"/>
    <x v="4"/>
    <s v="San Francisco"/>
    <x v="19"/>
  </r>
  <r>
    <s v="B-26095"/>
    <n v="1156"/>
    <n v="74"/>
    <n v="15"/>
    <x v="2"/>
    <x v="9"/>
    <x v="2"/>
    <s v="10/20/2021"/>
    <s v="Leroy Harris"/>
    <x v="1"/>
    <s v="Houston"/>
    <x v="0"/>
  </r>
  <r>
    <s v="B-26716"/>
    <n v="1150"/>
    <n v="58"/>
    <n v="7"/>
    <x v="0"/>
    <x v="8"/>
    <x v="0"/>
    <s v="11/20/2021"/>
    <s v="Marcus Santiago"/>
    <x v="0"/>
    <s v="Buffalo"/>
    <x v="28"/>
  </r>
  <r>
    <s v="B-25471"/>
    <n v="1146"/>
    <n v="188"/>
    <n v="9"/>
    <x v="1"/>
    <x v="5"/>
    <x v="0"/>
    <s v="11/27/2024"/>
    <s v="Tara Hughes"/>
    <x v="3"/>
    <s v="Tampa"/>
    <x v="46"/>
  </r>
  <r>
    <s v="B-25166"/>
    <n v="1133"/>
    <n v="73"/>
    <n v="17"/>
    <x v="1"/>
    <x v="5"/>
    <x v="3"/>
    <s v="2/23/2023"/>
    <s v="Richard Castaneda"/>
    <x v="2"/>
    <s v="Cleveland"/>
    <x v="51"/>
  </r>
  <r>
    <s v="B-25166"/>
    <n v="1133"/>
    <n v="73"/>
    <n v="17"/>
    <x v="1"/>
    <x v="5"/>
    <x v="3"/>
    <d v="2024-06-06T00:00:00"/>
    <s v="Sarah Torres"/>
    <x v="4"/>
    <s v="San Diego"/>
    <x v="11"/>
  </r>
  <r>
    <s v="B-26121"/>
    <n v="1126"/>
    <n v="55"/>
    <n v="1"/>
    <x v="1"/>
    <x v="6"/>
    <x v="3"/>
    <s v="1/16/2022"/>
    <s v="Jon Banks"/>
    <x v="3"/>
    <s v="Tampa"/>
    <x v="13"/>
  </r>
  <r>
    <s v="B-26121"/>
    <n v="1126"/>
    <n v="55"/>
    <n v="1"/>
    <x v="1"/>
    <x v="6"/>
    <x v="3"/>
    <s v="12/16/2022"/>
    <s v="Michelle Williams"/>
    <x v="0"/>
    <s v="Buffalo"/>
    <x v="9"/>
  </r>
  <r>
    <s v="B-25709"/>
    <n v="1109"/>
    <n v="418"/>
    <n v="15"/>
    <x v="0"/>
    <x v="7"/>
    <x v="3"/>
    <s v="8/19/2021"/>
    <s v="Denise Mcdaniel"/>
    <x v="4"/>
    <s v="Los Angeles"/>
    <x v="30"/>
  </r>
  <r>
    <s v="B-26978"/>
    <n v="1108"/>
    <n v="167"/>
    <n v="18"/>
    <x v="2"/>
    <x v="10"/>
    <x v="0"/>
    <d v="2025-07-03T00:00:00"/>
    <s v="Roger Harris"/>
    <x v="5"/>
    <s v="Springfield"/>
    <x v="25"/>
  </r>
  <r>
    <s v="B-26598"/>
    <n v="1093"/>
    <n v="397"/>
    <n v="17"/>
    <x v="2"/>
    <x v="9"/>
    <x v="4"/>
    <s v="3/27/2024"/>
    <s v="Jessica Barajas"/>
    <x v="5"/>
    <s v="Peoria"/>
    <x v="40"/>
  </r>
  <r>
    <s v="B-26598"/>
    <n v="1093"/>
    <n v="397"/>
    <n v="17"/>
    <x v="2"/>
    <x v="9"/>
    <x v="4"/>
    <d v="2024-01-09T00:00:00"/>
    <s v="Jamie Jimenez"/>
    <x v="0"/>
    <s v="Buffalo"/>
    <x v="39"/>
  </r>
  <r>
    <s v="B-26598"/>
    <n v="1093"/>
    <n v="397"/>
    <n v="17"/>
    <x v="2"/>
    <x v="9"/>
    <x v="4"/>
    <s v="2/22/2022"/>
    <s v="James Carter"/>
    <x v="2"/>
    <s v="Columbus"/>
    <x v="47"/>
  </r>
  <r>
    <s v="B-25990"/>
    <n v="1091"/>
    <n v="277"/>
    <n v="6"/>
    <x v="0"/>
    <x v="7"/>
    <x v="1"/>
    <s v="12/25/2022"/>
    <s v="Mark Dixon"/>
    <x v="2"/>
    <s v="Cincinnati"/>
    <x v="9"/>
  </r>
  <r>
    <s v="B-26754"/>
    <n v="1089"/>
    <n v="176"/>
    <n v="16"/>
    <x v="0"/>
    <x v="2"/>
    <x v="2"/>
    <s v="10/26/2020"/>
    <s v="Robin Myers"/>
    <x v="1"/>
    <s v="Dallas"/>
    <x v="19"/>
  </r>
  <r>
    <s v="B-26607"/>
    <n v="1085"/>
    <n v="301"/>
    <n v="20"/>
    <x v="1"/>
    <x v="6"/>
    <x v="3"/>
    <s v="7/13/2024"/>
    <s v="Maria Miller"/>
    <x v="0"/>
    <s v="Buffalo"/>
    <x v="33"/>
  </r>
  <r>
    <s v="B-26924"/>
    <n v="1083"/>
    <n v="501"/>
    <n v="6"/>
    <x v="0"/>
    <x v="0"/>
    <x v="1"/>
    <s v="2/28/2021"/>
    <s v="David Johnson"/>
    <x v="1"/>
    <s v="Austin"/>
    <x v="42"/>
  </r>
  <r>
    <s v="B-26878"/>
    <n v="1078"/>
    <n v="309"/>
    <n v="3"/>
    <x v="2"/>
    <x v="11"/>
    <x v="4"/>
    <d v="2022-03-09T00:00:00"/>
    <s v="Nicholas Flores"/>
    <x v="2"/>
    <s v="Cleveland"/>
    <x v="4"/>
  </r>
  <r>
    <s v="B-26878"/>
    <n v="1078"/>
    <n v="309"/>
    <n v="3"/>
    <x v="2"/>
    <x v="11"/>
    <x v="4"/>
    <d v="2020-01-10T00:00:00"/>
    <s v="Jasmin Jones"/>
    <x v="5"/>
    <s v="Chicago"/>
    <x v="19"/>
  </r>
  <r>
    <s v="B-25148"/>
    <n v="1067"/>
    <n v="251"/>
    <n v="14"/>
    <x v="1"/>
    <x v="4"/>
    <x v="2"/>
    <s v="12/23/2022"/>
    <s v="William Morse"/>
    <x v="0"/>
    <s v="Rochester"/>
    <x v="9"/>
  </r>
  <r>
    <s v="B-25148"/>
    <n v="1067"/>
    <n v="251"/>
    <n v="14"/>
    <x v="1"/>
    <x v="4"/>
    <x v="2"/>
    <d v="2022-10-08T00:00:00"/>
    <s v="Carrie Smith"/>
    <x v="5"/>
    <s v="Peoria"/>
    <x v="2"/>
  </r>
  <r>
    <s v="B-25541"/>
    <n v="1045"/>
    <n v="267"/>
    <n v="11"/>
    <x v="2"/>
    <x v="11"/>
    <x v="0"/>
    <d v="2023-04-05T00:00:00"/>
    <s v="April Marquez"/>
    <x v="2"/>
    <s v="Cleveland"/>
    <x v="38"/>
  </r>
  <r>
    <s v="B-25541"/>
    <n v="1045"/>
    <n v="267"/>
    <n v="11"/>
    <x v="2"/>
    <x v="11"/>
    <x v="0"/>
    <s v="4/22/2020"/>
    <s v="Joseph Guerrero"/>
    <x v="4"/>
    <s v="Los Angeles"/>
    <x v="18"/>
  </r>
  <r>
    <s v="B-25541"/>
    <n v="1045"/>
    <n v="267"/>
    <n v="11"/>
    <x v="2"/>
    <x v="11"/>
    <x v="0"/>
    <s v="8/13/2021"/>
    <s v="Michael Hanson"/>
    <x v="0"/>
    <s v="Rochester"/>
    <x v="30"/>
  </r>
  <r>
    <s v="B-26068"/>
    <n v="1033"/>
    <n v="254"/>
    <n v="5"/>
    <x v="1"/>
    <x v="6"/>
    <x v="1"/>
    <s v="8/28/2020"/>
    <s v="Carol Norman"/>
    <x v="0"/>
    <s v="Rochester"/>
    <x v="22"/>
  </r>
  <r>
    <s v="B-25170"/>
    <n v="1031"/>
    <n v="318"/>
    <n v="20"/>
    <x v="2"/>
    <x v="3"/>
    <x v="3"/>
    <s v="5/27/2022"/>
    <s v="Matthew Gardner"/>
    <x v="3"/>
    <s v="Tampa"/>
    <x v="41"/>
  </r>
  <r>
    <s v="B-25426"/>
    <n v="1023"/>
    <n v="78"/>
    <n v="9"/>
    <x v="1"/>
    <x v="1"/>
    <x v="3"/>
    <d v="2020-04-05T00:00:00"/>
    <s v="Mary Taylor"/>
    <x v="3"/>
    <s v="Orlando"/>
    <x v="48"/>
  </r>
  <r>
    <s v="B-25372"/>
    <n v="1016"/>
    <n v="172"/>
    <n v="20"/>
    <x v="1"/>
    <x v="1"/>
    <x v="0"/>
    <s v="11/16/2020"/>
    <s v="Heather Jenkins"/>
    <x v="0"/>
    <s v="Buffalo"/>
    <x v="32"/>
  </r>
  <r>
    <s v="B-25580"/>
    <n v="1010"/>
    <n v="58"/>
    <n v="19"/>
    <x v="2"/>
    <x v="3"/>
    <x v="1"/>
    <s v="3/15/2025"/>
    <s v="Dr. Terry Alvarado"/>
    <x v="3"/>
    <s v="Tampa"/>
    <x v="25"/>
  </r>
  <r>
    <s v="B-26319"/>
    <n v="992"/>
    <n v="64"/>
    <n v="6"/>
    <x v="2"/>
    <x v="11"/>
    <x v="4"/>
    <d v="2020-02-05T00:00:00"/>
    <s v="Andrew Fernandez"/>
    <x v="2"/>
    <s v="Cincinnati"/>
    <x v="48"/>
  </r>
  <r>
    <s v="B-26872"/>
    <n v="992"/>
    <n v="177"/>
    <n v="6"/>
    <x v="2"/>
    <x v="11"/>
    <x v="3"/>
    <s v="1/13/2024"/>
    <s v="Scott Gibbs"/>
    <x v="4"/>
    <s v="Los Angeles"/>
    <x v="54"/>
  </r>
  <r>
    <s v="B-25099"/>
    <n v="975"/>
    <n v="224"/>
    <n v="18"/>
    <x v="0"/>
    <x v="0"/>
    <x v="1"/>
    <s v="12/22/2021"/>
    <s v="William Valdez"/>
    <x v="4"/>
    <s v="San Diego"/>
    <x v="45"/>
  </r>
  <r>
    <s v="B-26668"/>
    <n v="972"/>
    <n v="106"/>
    <n v="15"/>
    <x v="0"/>
    <x v="0"/>
    <x v="2"/>
    <d v="2022-06-05T00:00:00"/>
    <s v="Betty Tucker"/>
    <x v="2"/>
    <s v="Cincinnati"/>
    <x v="41"/>
  </r>
  <r>
    <s v="B-25929"/>
    <n v="962"/>
    <n v="298"/>
    <n v="18"/>
    <x v="0"/>
    <x v="8"/>
    <x v="4"/>
    <s v="7/23/2022"/>
    <s v="Matthew Parker"/>
    <x v="5"/>
    <s v="Springfield"/>
    <x v="59"/>
  </r>
  <r>
    <s v="B-26026"/>
    <n v="953"/>
    <n v="93"/>
    <n v="2"/>
    <x v="0"/>
    <x v="7"/>
    <x v="0"/>
    <d v="2024-12-12T00:00:00"/>
    <s v="Kelsey Castaneda"/>
    <x v="2"/>
    <s v="Cleveland"/>
    <x v="34"/>
  </r>
  <r>
    <s v="B-26026"/>
    <n v="953"/>
    <n v="93"/>
    <n v="2"/>
    <x v="0"/>
    <x v="7"/>
    <x v="0"/>
    <d v="2023-06-04T00:00:00"/>
    <s v="Katherine Harris"/>
    <x v="4"/>
    <s v="Los Angeles"/>
    <x v="26"/>
  </r>
  <r>
    <s v="B-25342"/>
    <n v="949"/>
    <n v="301"/>
    <n v="9"/>
    <x v="0"/>
    <x v="8"/>
    <x v="3"/>
    <d v="2024-06-12T00:00:00"/>
    <s v="Nancy Jones"/>
    <x v="2"/>
    <s v="Cleveland"/>
    <x v="34"/>
  </r>
  <r>
    <s v="B-26916"/>
    <n v="916"/>
    <n v="362"/>
    <n v="7"/>
    <x v="0"/>
    <x v="0"/>
    <x v="3"/>
    <s v="10/21/2022"/>
    <s v="Kaylee Glover"/>
    <x v="5"/>
    <s v="Springfield"/>
    <x v="29"/>
  </r>
  <r>
    <s v="B-26916"/>
    <n v="916"/>
    <n v="362"/>
    <n v="7"/>
    <x v="0"/>
    <x v="0"/>
    <x v="3"/>
    <s v="10/21/2020"/>
    <s v="Pamela Patterson"/>
    <x v="4"/>
    <s v="San Francisco"/>
    <x v="19"/>
  </r>
  <r>
    <s v="B-26804"/>
    <n v="914"/>
    <n v="400"/>
    <n v="8"/>
    <x v="0"/>
    <x v="0"/>
    <x v="0"/>
    <d v="2021-03-01T00:00:00"/>
    <s v="Morgan Sellers"/>
    <x v="4"/>
    <s v="Los Angeles"/>
    <x v="60"/>
  </r>
  <r>
    <s v="B-25068"/>
    <n v="914"/>
    <n v="163"/>
    <n v="13"/>
    <x v="0"/>
    <x v="2"/>
    <x v="3"/>
    <s v="10/26/2024"/>
    <s v="Andrea Hill"/>
    <x v="5"/>
    <s v="Chicago"/>
    <x v="50"/>
  </r>
  <r>
    <s v="B-26125"/>
    <n v="912"/>
    <n v="246"/>
    <n v="2"/>
    <x v="1"/>
    <x v="4"/>
    <x v="2"/>
    <s v="10/13/2023"/>
    <s v="Benjamin Higgins"/>
    <x v="0"/>
    <s v="Rochester"/>
    <x v="43"/>
  </r>
  <r>
    <s v="B-25880"/>
    <n v="907"/>
    <n v="391"/>
    <n v="9"/>
    <x v="0"/>
    <x v="0"/>
    <x v="4"/>
    <d v="2023-04-08T00:00:00"/>
    <s v="Kaitlyn Graham MD"/>
    <x v="0"/>
    <s v="New York City"/>
    <x v="55"/>
  </r>
  <r>
    <s v="B-26640"/>
    <n v="883"/>
    <n v="117"/>
    <n v="10"/>
    <x v="2"/>
    <x v="10"/>
    <x v="2"/>
    <s v="11/18/2022"/>
    <s v="Richard Kelley"/>
    <x v="4"/>
    <s v="Los Angeles"/>
    <x v="56"/>
  </r>
  <r>
    <s v="B-26251"/>
    <n v="883"/>
    <n v="127"/>
    <n v="7"/>
    <x v="1"/>
    <x v="5"/>
    <x v="1"/>
    <d v="2023-04-06T00:00:00"/>
    <s v="Brenda Murphy"/>
    <x v="4"/>
    <s v="San Francisco"/>
    <x v="20"/>
  </r>
  <r>
    <s v="B-26195"/>
    <n v="874"/>
    <n v="235"/>
    <n v="15"/>
    <x v="0"/>
    <x v="8"/>
    <x v="0"/>
    <s v="5/29/2023"/>
    <s v="Bryan Brown"/>
    <x v="0"/>
    <s v="Rochester"/>
    <x v="38"/>
  </r>
  <r>
    <s v="B-26195"/>
    <n v="874"/>
    <n v="235"/>
    <n v="15"/>
    <x v="0"/>
    <x v="8"/>
    <x v="0"/>
    <d v="2021-04-06T00:00:00"/>
    <s v="Christopher Johnson"/>
    <x v="3"/>
    <s v="Miami"/>
    <x v="17"/>
  </r>
  <r>
    <s v="B-26837"/>
    <n v="869"/>
    <n v="373"/>
    <n v="14"/>
    <x v="0"/>
    <x v="7"/>
    <x v="4"/>
    <d v="2021-08-07T00:00:00"/>
    <s v="Larry Hill"/>
    <x v="0"/>
    <s v="New York City"/>
    <x v="14"/>
  </r>
  <r>
    <s v="B-26837"/>
    <n v="869"/>
    <n v="373"/>
    <n v="14"/>
    <x v="0"/>
    <x v="7"/>
    <x v="4"/>
    <d v="2020-08-04T00:00:00"/>
    <s v="Amber Moon"/>
    <x v="2"/>
    <s v="Cleveland"/>
    <x v="18"/>
  </r>
  <r>
    <s v="B-25106"/>
    <n v="851"/>
    <n v="356"/>
    <n v="11"/>
    <x v="2"/>
    <x v="3"/>
    <x v="4"/>
    <d v="2021-01-04T00:00:00"/>
    <s v="Luke Saunders"/>
    <x v="1"/>
    <s v="Dallas"/>
    <x v="8"/>
  </r>
  <r>
    <s v="B-25106"/>
    <n v="851"/>
    <n v="356"/>
    <n v="11"/>
    <x v="2"/>
    <x v="3"/>
    <x v="4"/>
    <s v="5/28/2024"/>
    <s v="Dr. Jennifer Benton DVM"/>
    <x v="5"/>
    <s v="Springfield"/>
    <x v="44"/>
  </r>
  <r>
    <s v="B-26734"/>
    <n v="847"/>
    <n v="355"/>
    <n v="17"/>
    <x v="1"/>
    <x v="1"/>
    <x v="1"/>
    <s v="5/23/2022"/>
    <s v="James Garcia"/>
    <x v="0"/>
    <s v="Buffalo"/>
    <x v="41"/>
  </r>
  <r>
    <s v="B-26734"/>
    <n v="847"/>
    <n v="355"/>
    <n v="17"/>
    <x v="1"/>
    <x v="1"/>
    <x v="1"/>
    <s v="11/28/2023"/>
    <s v="Emily Frederick"/>
    <x v="1"/>
    <s v="Austin"/>
    <x v="37"/>
  </r>
  <r>
    <s v="B-26734"/>
    <n v="847"/>
    <n v="355"/>
    <n v="17"/>
    <x v="1"/>
    <x v="1"/>
    <x v="1"/>
    <s v="1/18/2023"/>
    <s v="Shawn Wise"/>
    <x v="4"/>
    <s v="San Francisco"/>
    <x v="52"/>
  </r>
  <r>
    <s v="B-26069"/>
    <n v="838"/>
    <n v="271"/>
    <n v="11"/>
    <x v="0"/>
    <x v="2"/>
    <x v="2"/>
    <s v="1/21/2021"/>
    <s v="Stephen Baker"/>
    <x v="2"/>
    <s v="Columbus"/>
    <x v="60"/>
  </r>
  <r>
    <s v="B-26069"/>
    <n v="838"/>
    <n v="271"/>
    <n v="11"/>
    <x v="0"/>
    <x v="2"/>
    <x v="2"/>
    <s v="2/28/2022"/>
    <s v="Jeffrey Wilcox"/>
    <x v="5"/>
    <s v="Peoria"/>
    <x v="47"/>
  </r>
  <r>
    <s v="B-26287"/>
    <n v="822"/>
    <n v="147"/>
    <n v="5"/>
    <x v="1"/>
    <x v="4"/>
    <x v="4"/>
    <d v="2024-02-07T00:00:00"/>
    <s v="Renee Solomon"/>
    <x v="3"/>
    <s v="Tampa"/>
    <x v="33"/>
  </r>
  <r>
    <s v="B-25697"/>
    <n v="815"/>
    <n v="54"/>
    <n v="14"/>
    <x v="1"/>
    <x v="1"/>
    <x v="0"/>
    <s v="5/25/2021"/>
    <s v="Victoria Bryant MD"/>
    <x v="4"/>
    <s v="San Francisco"/>
    <x v="12"/>
  </r>
  <r>
    <s v="B-25679"/>
    <n v="810"/>
    <n v="231"/>
    <n v="18"/>
    <x v="1"/>
    <x v="6"/>
    <x v="2"/>
    <s v="10/21/2020"/>
    <s v="Jacob Decker"/>
    <x v="3"/>
    <s v="Tampa"/>
    <x v="19"/>
  </r>
  <r>
    <s v="B-26383"/>
    <n v="798"/>
    <n v="308"/>
    <n v="10"/>
    <x v="2"/>
    <x v="11"/>
    <x v="0"/>
    <d v="2023-12-01T00:00:00"/>
    <s v="Brittany Jenkins"/>
    <x v="0"/>
    <s v="Buffalo"/>
    <x v="52"/>
  </r>
  <r>
    <s v="B-26383"/>
    <n v="798"/>
    <n v="308"/>
    <n v="10"/>
    <x v="2"/>
    <x v="11"/>
    <x v="0"/>
    <s v="5/19/2023"/>
    <s v="Eddie Gonzales"/>
    <x v="2"/>
    <s v="Cleveland"/>
    <x v="38"/>
  </r>
  <r>
    <s v="B-26592"/>
    <n v="796"/>
    <n v="153"/>
    <n v="15"/>
    <x v="0"/>
    <x v="0"/>
    <x v="4"/>
    <d v="2022-07-10T00:00:00"/>
    <s v="James Hernandez"/>
    <x v="4"/>
    <s v="San Francisco"/>
    <x v="29"/>
  </r>
  <r>
    <s v="B-25841"/>
    <n v="782"/>
    <n v="374"/>
    <n v="8"/>
    <x v="0"/>
    <x v="0"/>
    <x v="2"/>
    <s v="1/19/2021"/>
    <s v="Jacob Meyer"/>
    <x v="5"/>
    <s v="Peoria"/>
    <x v="60"/>
  </r>
  <r>
    <s v="B-25303"/>
    <n v="770"/>
    <n v="241"/>
    <n v="11"/>
    <x v="1"/>
    <x v="4"/>
    <x v="1"/>
    <s v="11/23/2021"/>
    <s v="Darren Perez"/>
    <x v="1"/>
    <s v="Austin"/>
    <x v="28"/>
  </r>
  <r>
    <s v="B-25303"/>
    <n v="770"/>
    <n v="241"/>
    <n v="11"/>
    <x v="1"/>
    <x v="4"/>
    <x v="1"/>
    <d v="2023-04-03T00:00:00"/>
    <s v="Michelle Hunter"/>
    <x v="2"/>
    <s v="Cincinnati"/>
    <x v="7"/>
  </r>
  <r>
    <s v="B-26765"/>
    <n v="762"/>
    <n v="92"/>
    <n v="11"/>
    <x v="2"/>
    <x v="9"/>
    <x v="1"/>
    <d v="2023-06-01T00:00:00"/>
    <s v="Jonathan Young"/>
    <x v="5"/>
    <s v="Springfield"/>
    <x v="52"/>
  </r>
  <r>
    <s v="B-25038"/>
    <n v="738"/>
    <n v="342"/>
    <n v="2"/>
    <x v="1"/>
    <x v="5"/>
    <x v="0"/>
    <s v="4/28/2023"/>
    <s v="Terry Mcdaniel"/>
    <x v="2"/>
    <s v="Cincinnati"/>
    <x v="26"/>
  </r>
  <r>
    <s v="B-25038"/>
    <n v="738"/>
    <n v="342"/>
    <n v="2"/>
    <x v="1"/>
    <x v="5"/>
    <x v="0"/>
    <d v="2020-05-12T00:00:00"/>
    <s v="Lisa Jacobs"/>
    <x v="0"/>
    <s v="Buffalo"/>
    <x v="53"/>
  </r>
  <r>
    <s v="B-25038"/>
    <n v="738"/>
    <n v="342"/>
    <n v="2"/>
    <x v="1"/>
    <x v="5"/>
    <x v="0"/>
    <s v="5/14/2024"/>
    <s v="Jeff Duncan"/>
    <x v="2"/>
    <s v="Cincinnati"/>
    <x v="44"/>
  </r>
  <r>
    <s v="B-25038"/>
    <n v="738"/>
    <n v="342"/>
    <n v="2"/>
    <x v="1"/>
    <x v="5"/>
    <x v="0"/>
    <s v="1/18/2022"/>
    <s v="Pamela Jones"/>
    <x v="0"/>
    <s v="New York City"/>
    <x v="13"/>
  </r>
  <r>
    <s v="B-26932"/>
    <n v="736"/>
    <n v="286"/>
    <n v="12"/>
    <x v="0"/>
    <x v="0"/>
    <x v="2"/>
    <s v="7/15/2022"/>
    <s v="Michael Rodriguez"/>
    <x v="2"/>
    <s v="Cincinnati"/>
    <x v="59"/>
  </r>
  <r>
    <s v="B-25051"/>
    <n v="725"/>
    <n v="133"/>
    <n v="6"/>
    <x v="0"/>
    <x v="7"/>
    <x v="4"/>
    <s v="12/30/2024"/>
    <s v="Lawrence Robinson"/>
    <x v="0"/>
    <s v="Rochester"/>
    <x v="34"/>
  </r>
  <r>
    <s v="B-25620"/>
    <n v="721"/>
    <n v="258"/>
    <n v="13"/>
    <x v="2"/>
    <x v="10"/>
    <x v="0"/>
    <s v="10/18/2023"/>
    <s v="Benjamin Meadows"/>
    <x v="5"/>
    <s v="Peoria"/>
    <x v="43"/>
  </r>
  <r>
    <s v="B-25620"/>
    <n v="721"/>
    <n v="258"/>
    <n v="13"/>
    <x v="2"/>
    <x v="10"/>
    <x v="0"/>
    <s v="6/13/2022"/>
    <s v="Micheal Graham"/>
    <x v="0"/>
    <s v="Buffalo"/>
    <x v="10"/>
  </r>
  <r>
    <s v="B-25465"/>
    <n v="717"/>
    <n v="158"/>
    <n v="16"/>
    <x v="1"/>
    <x v="1"/>
    <x v="4"/>
    <s v="3/23/2022"/>
    <s v="Tony Ray"/>
    <x v="2"/>
    <s v="Cleveland"/>
    <x v="3"/>
  </r>
  <r>
    <s v="B-25465"/>
    <n v="717"/>
    <n v="158"/>
    <n v="16"/>
    <x v="1"/>
    <x v="1"/>
    <x v="4"/>
    <s v="6/24/2020"/>
    <s v="Steven Frey"/>
    <x v="3"/>
    <s v="Miami"/>
    <x v="5"/>
  </r>
  <r>
    <s v="B-25465"/>
    <n v="717"/>
    <n v="158"/>
    <n v="16"/>
    <x v="1"/>
    <x v="1"/>
    <x v="4"/>
    <s v="12/23/2022"/>
    <s v="Stephanie Leonard"/>
    <x v="0"/>
    <s v="Buffalo"/>
    <x v="9"/>
  </r>
  <r>
    <s v="B-25465"/>
    <n v="717"/>
    <n v="158"/>
    <n v="16"/>
    <x v="1"/>
    <x v="1"/>
    <x v="4"/>
    <s v="11/24/2024"/>
    <s v="Crystal Chambers"/>
    <x v="0"/>
    <s v="New York City"/>
    <x v="46"/>
  </r>
  <r>
    <s v="B-25465"/>
    <n v="717"/>
    <n v="158"/>
    <n v="16"/>
    <x v="1"/>
    <x v="1"/>
    <x v="4"/>
    <d v="2020-06-11T00:00:00"/>
    <s v="Robert White"/>
    <x v="3"/>
    <s v="Orlando"/>
    <x v="32"/>
  </r>
  <r>
    <s v="B-25465"/>
    <n v="717"/>
    <n v="158"/>
    <n v="16"/>
    <x v="1"/>
    <x v="1"/>
    <x v="4"/>
    <s v="10/24/2023"/>
    <s v="Sylvia Barron"/>
    <x v="0"/>
    <s v="Rochester"/>
    <x v="43"/>
  </r>
  <r>
    <s v="B-25996"/>
    <n v="714"/>
    <n v="232"/>
    <n v="14"/>
    <x v="1"/>
    <x v="1"/>
    <x v="3"/>
    <s v="1/18/2023"/>
    <s v="Brandon Alvarado"/>
    <x v="2"/>
    <s v="Columbus"/>
    <x v="52"/>
  </r>
  <r>
    <s v="B-25996"/>
    <n v="714"/>
    <n v="232"/>
    <n v="14"/>
    <x v="1"/>
    <x v="1"/>
    <x v="3"/>
    <s v="12/23/2020"/>
    <s v="Jennifer Clark"/>
    <x v="1"/>
    <s v="Austin"/>
    <x v="53"/>
  </r>
  <r>
    <s v="B-26428"/>
    <n v="706"/>
    <n v="197"/>
    <n v="11"/>
    <x v="2"/>
    <x v="10"/>
    <x v="4"/>
    <d v="2022-02-01T00:00:00"/>
    <s v="Brandon Anderson"/>
    <x v="1"/>
    <s v="Austin"/>
    <x v="13"/>
  </r>
  <r>
    <s v="B-25813"/>
    <n v="702"/>
    <n v="238"/>
    <n v="9"/>
    <x v="2"/>
    <x v="11"/>
    <x v="1"/>
    <s v="3/13/2021"/>
    <s v="Charles Henderson"/>
    <x v="3"/>
    <s v="Tampa"/>
    <x v="36"/>
  </r>
  <r>
    <s v="B-25251"/>
    <n v="697"/>
    <n v="116"/>
    <n v="1"/>
    <x v="1"/>
    <x v="5"/>
    <x v="3"/>
    <s v="4/27/2020"/>
    <s v="Donald York"/>
    <x v="0"/>
    <s v="Buffalo"/>
    <x v="18"/>
  </r>
  <r>
    <s v="B-25251"/>
    <n v="697"/>
    <n v="116"/>
    <n v="1"/>
    <x v="1"/>
    <x v="5"/>
    <x v="3"/>
    <s v="5/13/2024"/>
    <s v="Tiffany Parker"/>
    <x v="1"/>
    <s v="Houston"/>
    <x v="44"/>
  </r>
  <r>
    <s v="B-25640"/>
    <n v="670"/>
    <n v="85"/>
    <n v="9"/>
    <x v="0"/>
    <x v="0"/>
    <x v="2"/>
    <s v="8/21/2023"/>
    <s v="Claire Cole"/>
    <x v="1"/>
    <s v="Houston"/>
    <x v="55"/>
  </r>
  <r>
    <s v="B-25955"/>
    <n v="655"/>
    <n v="297"/>
    <n v="4"/>
    <x v="0"/>
    <x v="2"/>
    <x v="0"/>
    <s v="2/15/2022"/>
    <s v="Alexander Adams"/>
    <x v="0"/>
    <s v="Buffalo"/>
    <x v="47"/>
  </r>
  <r>
    <s v="B-25955"/>
    <n v="655"/>
    <n v="297"/>
    <n v="4"/>
    <x v="0"/>
    <x v="2"/>
    <x v="0"/>
    <s v="11/30/2023"/>
    <s v="Ashlee Mills"/>
    <x v="3"/>
    <s v="Orlando"/>
    <x v="37"/>
  </r>
  <r>
    <s v="B-26975"/>
    <n v="622"/>
    <n v="218"/>
    <n v="19"/>
    <x v="1"/>
    <x v="6"/>
    <x v="4"/>
    <s v="6/23/2024"/>
    <s v="Elizabeth Gonzalez"/>
    <x v="4"/>
    <s v="San Diego"/>
    <x v="11"/>
  </r>
  <r>
    <s v="B-25359"/>
    <n v="611"/>
    <n v="300"/>
    <n v="3"/>
    <x v="1"/>
    <x v="6"/>
    <x v="4"/>
    <s v="10/15/2020"/>
    <s v="Jack Woods"/>
    <x v="5"/>
    <s v="Peoria"/>
    <x v="19"/>
  </r>
  <r>
    <s v="B-26526"/>
    <n v="599"/>
    <n v="265"/>
    <n v="4"/>
    <x v="2"/>
    <x v="11"/>
    <x v="4"/>
    <s v="7/17/2022"/>
    <s v="Emma Scott"/>
    <x v="0"/>
    <s v="Buffalo"/>
    <x v="59"/>
  </r>
  <r>
    <s v="B-26526"/>
    <n v="599"/>
    <n v="265"/>
    <n v="4"/>
    <x v="2"/>
    <x v="11"/>
    <x v="4"/>
    <d v="2024-05-12T00:00:00"/>
    <s v="Sabrina Buckley"/>
    <x v="0"/>
    <s v="Rochester"/>
    <x v="34"/>
  </r>
  <r>
    <s v="B-26904"/>
    <n v="594"/>
    <n v="67"/>
    <n v="19"/>
    <x v="0"/>
    <x v="7"/>
    <x v="0"/>
    <d v="2023-10-09T00:00:00"/>
    <s v="Maria Davis"/>
    <x v="0"/>
    <s v="Buffalo"/>
    <x v="6"/>
  </r>
  <r>
    <s v="B-26904"/>
    <n v="594"/>
    <n v="67"/>
    <n v="19"/>
    <x v="0"/>
    <x v="7"/>
    <x v="0"/>
    <d v="2024-05-01T00:00:00"/>
    <s v="Terry Gilbert"/>
    <x v="3"/>
    <s v="Miami"/>
    <x v="54"/>
  </r>
  <r>
    <s v="B-26904"/>
    <n v="594"/>
    <n v="67"/>
    <n v="19"/>
    <x v="0"/>
    <x v="7"/>
    <x v="0"/>
    <d v="2024-08-05T00:00:00"/>
    <s v="Devon Schmitt"/>
    <x v="1"/>
    <s v="Austin"/>
    <x v="44"/>
  </r>
  <r>
    <s v="B-26747"/>
    <n v="576"/>
    <n v="76"/>
    <n v="13"/>
    <x v="1"/>
    <x v="4"/>
    <x v="3"/>
    <s v="2/23/2022"/>
    <s v="Amy Wilson"/>
    <x v="4"/>
    <s v="Los Angeles"/>
    <x v="47"/>
  </r>
  <r>
    <s v="B-25965"/>
    <n v="544"/>
    <n v="272"/>
    <n v="2"/>
    <x v="2"/>
    <x v="10"/>
    <x v="0"/>
    <d v="2021-05-03T00:00:00"/>
    <s v="Tanner Vance"/>
    <x v="1"/>
    <s v="Houston"/>
    <x v="36"/>
  </r>
  <r>
    <s v="B-25965"/>
    <n v="544"/>
    <n v="272"/>
    <n v="2"/>
    <x v="2"/>
    <x v="10"/>
    <x v="0"/>
    <s v="6/25/2023"/>
    <s v="Michael Nash"/>
    <x v="0"/>
    <s v="Buffalo"/>
    <x v="20"/>
  </r>
  <r>
    <s v="B-26545"/>
    <n v="537"/>
    <n v="142"/>
    <n v="20"/>
    <x v="0"/>
    <x v="2"/>
    <x v="2"/>
    <d v="2021-02-08T00:00:00"/>
    <s v="Brent Thomas"/>
    <x v="5"/>
    <s v="Peoria"/>
    <x v="30"/>
  </r>
  <r>
    <s v="B-26978"/>
    <n v="535"/>
    <n v="72"/>
    <n v="6"/>
    <x v="1"/>
    <x v="6"/>
    <x v="1"/>
    <d v="2025-07-03T00:00:00"/>
    <s v="Roger Harris"/>
    <x v="5"/>
    <s v="Springfield"/>
    <x v="25"/>
  </r>
  <r>
    <s v="B-25972"/>
    <n v="531"/>
    <n v="189"/>
    <n v="20"/>
    <x v="1"/>
    <x v="6"/>
    <x v="0"/>
    <s v="6/19/2022"/>
    <s v="Willie Huynh"/>
    <x v="0"/>
    <s v="Buffalo"/>
    <x v="10"/>
  </r>
  <r>
    <s v="B-26659"/>
    <n v="526"/>
    <n v="83"/>
    <n v="4"/>
    <x v="1"/>
    <x v="4"/>
    <x v="4"/>
    <s v="2/18/2022"/>
    <s v="Samuel Little MD"/>
    <x v="5"/>
    <s v="Chicago"/>
    <x v="47"/>
  </r>
  <r>
    <s v="B-25690"/>
    <n v="523"/>
    <n v="95"/>
    <n v="20"/>
    <x v="2"/>
    <x v="9"/>
    <x v="2"/>
    <d v="2024-07-12T00:00:00"/>
    <s v="Mark Blackburn"/>
    <x v="1"/>
    <s v="Dallas"/>
    <x v="34"/>
  </r>
  <r>
    <s v="B-25842"/>
    <n v="514"/>
    <n v="109"/>
    <n v="15"/>
    <x v="0"/>
    <x v="7"/>
    <x v="0"/>
    <s v="1/22/2024"/>
    <s v="Christina Conner"/>
    <x v="2"/>
    <s v="Columbus"/>
    <x v="54"/>
  </r>
  <r>
    <s v="B-25842"/>
    <n v="514"/>
    <n v="109"/>
    <n v="15"/>
    <x v="0"/>
    <x v="7"/>
    <x v="0"/>
    <s v="12/27/2022"/>
    <s v="Luis Luna"/>
    <x v="4"/>
    <s v="San Francisco"/>
    <x v="9"/>
  </r>
  <r>
    <s v="B-25465"/>
    <n v="508"/>
    <n v="177"/>
    <n v="17"/>
    <x v="1"/>
    <x v="4"/>
    <x v="3"/>
    <s v="3/23/2022"/>
    <s v="Tony Ray"/>
    <x v="2"/>
    <s v="Cleveland"/>
    <x v="3"/>
  </r>
  <r>
    <s v="B-25465"/>
    <n v="508"/>
    <n v="177"/>
    <n v="17"/>
    <x v="1"/>
    <x v="4"/>
    <x v="3"/>
    <s v="6/24/2020"/>
    <s v="Steven Frey"/>
    <x v="3"/>
    <s v="Miami"/>
    <x v="5"/>
  </r>
  <r>
    <s v="B-25465"/>
    <n v="508"/>
    <n v="177"/>
    <n v="17"/>
    <x v="1"/>
    <x v="4"/>
    <x v="3"/>
    <s v="12/23/2022"/>
    <s v="Stephanie Leonard"/>
    <x v="0"/>
    <s v="Buffalo"/>
    <x v="9"/>
  </r>
  <r>
    <s v="B-25465"/>
    <n v="508"/>
    <n v="177"/>
    <n v="17"/>
    <x v="1"/>
    <x v="4"/>
    <x v="3"/>
    <s v="11/24/2024"/>
    <s v="Crystal Chambers"/>
    <x v="0"/>
    <s v="New York City"/>
    <x v="46"/>
  </r>
  <r>
    <s v="B-25465"/>
    <n v="508"/>
    <n v="177"/>
    <n v="17"/>
    <x v="1"/>
    <x v="4"/>
    <x v="3"/>
    <d v="2020-06-11T00:00:00"/>
    <s v="Robert White"/>
    <x v="3"/>
    <s v="Orlando"/>
    <x v="32"/>
  </r>
  <r>
    <s v="B-25465"/>
    <n v="508"/>
    <n v="177"/>
    <n v="17"/>
    <x v="1"/>
    <x v="4"/>
    <x v="3"/>
    <s v="10/24/2023"/>
    <s v="Sylvia Barron"/>
    <x v="0"/>
    <s v="Rochester"/>
    <x v="43"/>
  </r>
  <r>
    <s v="B-25861"/>
    <n v="500"/>
    <n v="3930"/>
    <n v="14"/>
    <x v="1"/>
    <x v="1"/>
    <x v="0"/>
    <s v="7/15/2023"/>
    <s v="Jennifer Chase"/>
    <x v="0"/>
    <s v="Buffalo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6D8D8-0193-427D-B3D7-40957307F100}" name="PivotTable3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K9" firstHeaderRow="0" firstDataRow="1" firstDataCol="1"/>
  <pivotFields count="12">
    <pivotField compact="0" outline="0" showAll="0"/>
    <pivotField dataField="1" compact="0" numFmtId="1" outline="0" showAll="0"/>
    <pivotField compact="0" outline="0" showAll="0"/>
    <pivotField dataField="1"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>
      <items count="7">
        <item x="4"/>
        <item x="3"/>
        <item x="5"/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 numFmtId="1"/>
    <dataField name="Sum of Quantity" fld="3" baseField="0" baseItem="0"/>
  </dataFields>
  <chartFormats count="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4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50F60-29BD-4A24-8ABC-1EE57FA9E80C}" name="PivotTable2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G10" firstHeaderRow="0" firstDataRow="1" firstDataCol="1"/>
  <pivotFields count="12">
    <pivotField compact="0" outline="0" showAll="0"/>
    <pivotField dataField="1" compact="0" numFmtId="1" outline="0" showAll="0"/>
    <pivotField compact="0" outline="0" showAll="0"/>
    <pivotField dataField="1"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3"/>
        <item x="5"/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 numFmtId="1"/>
    <dataField name="Sum of Quantity" fld="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4CAE4-CE51-40B7-B761-ED863E608FCE}" name="PivotTable1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C7" firstHeaderRow="0" firstDataRow="1" firstDataCol="1"/>
  <pivotFields count="12">
    <pivotField compact="0" outline="0" showAll="0"/>
    <pivotField dataField="1" compact="0" numFmtId="1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6">
        <item x="1"/>
        <item x="4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>
      <items count="7">
        <item x="4"/>
        <item h="1" x="3"/>
        <item h="1" x="5"/>
        <item h="1" x="0"/>
        <item h="1" x="2"/>
        <item h="1" x="1"/>
        <item t="default"/>
      </items>
    </pivotField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 numFmtId="1"/>
    <dataField name="Sum of Profit" fld="2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A13AF-82CE-46C2-8DCF-61BB44ADA804}" name="PivotTable5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4:P20" firstHeaderRow="0" firstDataRow="1" firstDataCol="2"/>
  <pivotFields count="12">
    <pivotField compact="0" outline="0" showAll="0"/>
    <pivotField dataField="1" compact="0" numFmtId="1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13">
        <item x="8"/>
        <item x="6"/>
        <item x="5"/>
        <item x="3"/>
        <item x="10"/>
        <item x="2"/>
        <item x="7"/>
        <item x="0"/>
        <item x="11"/>
        <item x="9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5"/>
  </rowFields>
  <rowItems count="16">
    <i>
      <x/>
      <x v="3"/>
    </i>
    <i r="1">
      <x v="4"/>
    </i>
    <i r="1">
      <x v="8"/>
    </i>
    <i r="1">
      <x v="9"/>
    </i>
    <i t="default">
      <x/>
    </i>
    <i>
      <x v="1"/>
      <x v="1"/>
    </i>
    <i r="1">
      <x v="2"/>
    </i>
    <i r="1">
      <x v="10"/>
    </i>
    <i r="1">
      <x v="11"/>
    </i>
    <i t="default">
      <x v="1"/>
    </i>
    <i>
      <x v="2"/>
      <x/>
    </i>
    <i r="1">
      <x v="5"/>
    </i>
    <i r="1">
      <x v="6"/>
    </i>
    <i r="1">
      <x v="7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 numFmtId="1"/>
    <dataField name="Sum of Profit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210FD-C8E9-4F0C-A988-21A5A009F80C}" name="PivotTable4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0:C72" firstHeaderRow="0" firstDataRow="1" firstDataCol="1"/>
  <pivotFields count="12">
    <pivotField compact="0" outline="0" showAll="0"/>
    <pivotField dataField="1" compact="0" numFmtId="1" outline="0" showAll="0"/>
    <pivotField compact="0" outline="0" showAll="0"/>
    <pivotField dataField="1" compact="0" outline="0" showAll="0"/>
    <pivotField compact="0" outline="0" showAll="0">
      <items count="4">
        <item h="1" x="2"/>
        <item x="1"/>
        <item x="0"/>
        <item t="default"/>
      </items>
    </pivotField>
    <pivotField compact="0" outline="0" showAll="0"/>
    <pivotField compact="0" outline="0" showAll="0">
      <items count="6">
        <item x="1"/>
        <item x="4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>
      <items count="7">
        <item x="4"/>
        <item x="3"/>
        <item x="5"/>
        <item x="0"/>
        <item x="2"/>
        <item x="1"/>
        <item t="default"/>
      </items>
    </pivotField>
    <pivotField compact="0" outline="0" showAll="0"/>
    <pivotField axis="axisRow" compact="0" outline="0" showAll="0">
      <items count="62">
        <item x="49"/>
        <item x="18"/>
        <item x="48"/>
        <item x="5"/>
        <item x="31"/>
        <item x="22"/>
        <item x="27"/>
        <item x="19"/>
        <item x="32"/>
        <item x="53"/>
        <item x="60"/>
        <item x="42"/>
        <item x="36"/>
        <item x="8"/>
        <item x="12"/>
        <item x="17"/>
        <item x="14"/>
        <item x="30"/>
        <item x="58"/>
        <item x="0"/>
        <item x="28"/>
        <item x="45"/>
        <item x="13"/>
        <item x="47"/>
        <item x="3"/>
        <item x="1"/>
        <item x="41"/>
        <item x="10"/>
        <item x="59"/>
        <item x="2"/>
        <item x="4"/>
        <item x="29"/>
        <item x="56"/>
        <item x="9"/>
        <item x="52"/>
        <item x="51"/>
        <item x="7"/>
        <item x="26"/>
        <item x="38"/>
        <item x="20"/>
        <item x="23"/>
        <item x="55"/>
        <item x="6"/>
        <item x="43"/>
        <item x="37"/>
        <item x="15"/>
        <item x="54"/>
        <item x="16"/>
        <item x="40"/>
        <item x="24"/>
        <item x="44"/>
        <item x="11"/>
        <item x="33"/>
        <item x="57"/>
        <item x="39"/>
        <item x="50"/>
        <item x="46"/>
        <item x="34"/>
        <item x="35"/>
        <item x="21"/>
        <item x="25"/>
        <item t="default"/>
      </items>
    </pivotField>
  </pivotFields>
  <rowFields count="1">
    <field x="1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 numFmtId="1"/>
    <dataField name="Sum of Quantity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358BC345-A5FB-4C6F-A325-C0B89A56F098}" sourceName="Category">
  <pivotTables>
    <pivotTable tabId="4" name="PivotTable4"/>
  </pivotTables>
  <data>
    <tabular pivotCacheId="1777758516">
      <items count="3">
        <i x="2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ode" xr10:uid="{877713DC-E10D-4833-A034-C3A94674F0C1}" sourceName="PaymentMode">
  <pivotTables>
    <pivotTable tabId="4" name="PivotTable4"/>
  </pivotTables>
  <data>
    <tabular pivotCacheId="1777758516">
      <items count="5">
        <i x="1" s="1"/>
        <i x="4" s="1"/>
        <i x="0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DB6227DE-9E19-4DB6-8E9F-C48E5CF08124}" sourceName="State">
  <pivotTables>
    <pivotTable tabId="4" name="PivotTable4"/>
  </pivotTables>
  <data>
    <tabular pivotCacheId="1777758516">
      <items count="6">
        <i x="4" s="1"/>
        <i x="3" s="1"/>
        <i x="5" s="1"/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9B3F48E2-9C2C-4E35-9600-D3B54932240C}" sourceName="Category">
  <pivotTables>
    <pivotTable tabId="4" name="PivotTable1"/>
  </pivotTables>
  <data>
    <tabular pivotCacheId="1777758516">
      <items count="3"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ode1" xr10:uid="{8CDA370F-DFA0-4719-B5F0-376F39605AE3}" sourceName="PaymentMode">
  <pivotTables>
    <pivotTable tabId="4" name="PivotTable1"/>
  </pivotTables>
  <data>
    <tabular pivotCacheId="1777758516">
      <items count="5">
        <i x="1" s="1"/>
        <i x="4" s="1"/>
        <i x="0" s="1"/>
        <i x="2" s="1"/>
        <i x="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1" xr10:uid="{A423EAE2-F3A1-47BE-B997-8C85C90F6E49}" sourceName="State">
  <pivotTables>
    <pivotTable tabId="4" name="PivotTable1"/>
  </pivotTables>
  <data>
    <tabular pivotCacheId="1777758516">
      <items count="6">
        <i x="4" s="1"/>
        <i x="3"/>
        <i x="5"/>
        <i x="0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C65A0D39-90CA-4E38-B81C-C9CE776132BC}" cache="Slicer_Category" caption="Category" rowHeight="228600"/>
  <slicer name="PaymentMode" xr10:uid="{4D59B225-2B3B-461C-8677-F0B0655909E9}" cache="Slicer_PaymentMode" caption="PaymentMode" rowHeight="228600"/>
  <slicer name="State" xr10:uid="{B784CA66-9C65-4CCC-8BF1-D3B9DA9E8D10}" cache="Slicer_State" caption="State" rowHeight="228600"/>
  <slicer name="Category 1" xr10:uid="{C82CA17D-A4FE-4701-A5F5-94E74F92E3A1}" cache="Slicer_Category1" caption="Category" rowHeight="228600"/>
  <slicer name="PaymentMode 1" xr10:uid="{F2DBB55E-8EF5-4013-B0A5-07744C7FE318}" cache="Slicer_PaymentMode1" caption="PaymentMode" rowHeight="228600"/>
  <slicer name="State 1" xr10:uid="{64C71FB1-D486-4E79-AADE-B8DBF9E0FE68}" cache="Slicer_State1" caption="Stat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9DF6-3613-4086-9F0D-5A927049AD43}">
  <dimension ref="A3:P72"/>
  <sheetViews>
    <sheetView topLeftCell="A17" workbookViewId="0">
      <selection activeCell="A3" sqref="A3:C7"/>
    </sheetView>
  </sheetViews>
  <sheetFormatPr defaultRowHeight="15"/>
  <cols>
    <col min="1" max="1" width="13.7109375" bestFit="1" customWidth="1"/>
    <col min="2" max="2" width="14.85546875" bestFit="1" customWidth="1"/>
    <col min="3" max="3" width="12.5703125" bestFit="1" customWidth="1"/>
    <col min="4" max="4" width="15.42578125" bestFit="1" customWidth="1"/>
    <col min="5" max="5" width="11.42578125" bestFit="1" customWidth="1"/>
    <col min="6" max="6" width="14.85546875" bestFit="1" customWidth="1"/>
    <col min="7" max="7" width="15.42578125" bestFit="1" customWidth="1"/>
    <col min="8" max="8" width="12.5703125" bestFit="1" customWidth="1"/>
    <col min="9" max="9" width="17.140625" bestFit="1" customWidth="1"/>
    <col min="10" max="10" width="14.85546875" bestFit="1" customWidth="1"/>
    <col min="11" max="12" width="15.42578125" bestFit="1" customWidth="1"/>
    <col min="14" max="14" width="16" bestFit="1" customWidth="1"/>
    <col min="15" max="15" width="14.85546875" bestFit="1" customWidth="1"/>
    <col min="16" max="16" width="12.5703125" bestFit="1" customWidth="1"/>
  </cols>
  <sheetData>
    <row r="3" spans="1:16">
      <c r="A3" s="23" t="s">
        <v>0</v>
      </c>
      <c r="B3" t="s">
        <v>1</v>
      </c>
      <c r="C3" t="s">
        <v>2</v>
      </c>
      <c r="E3" s="23" t="s">
        <v>3</v>
      </c>
      <c r="F3" t="s">
        <v>1</v>
      </c>
      <c r="G3" t="s">
        <v>4</v>
      </c>
      <c r="I3" s="23" t="s">
        <v>5</v>
      </c>
      <c r="J3" t="s">
        <v>1</v>
      </c>
      <c r="K3" t="s">
        <v>4</v>
      </c>
    </row>
    <row r="4" spans="1:16">
      <c r="A4" t="s">
        <v>6</v>
      </c>
      <c r="B4" s="17">
        <v>300653</v>
      </c>
      <c r="C4" s="24">
        <v>67477</v>
      </c>
      <c r="E4" t="s">
        <v>7</v>
      </c>
      <c r="F4" s="17">
        <v>1086436</v>
      </c>
      <c r="G4" s="24">
        <v>2319</v>
      </c>
      <c r="I4" t="s">
        <v>8</v>
      </c>
      <c r="J4" s="17">
        <v>1141790</v>
      </c>
      <c r="K4" s="24">
        <v>2191</v>
      </c>
      <c r="M4" s="23" t="s">
        <v>0</v>
      </c>
      <c r="N4" s="23" t="s">
        <v>9</v>
      </c>
      <c r="O4" t="s">
        <v>1</v>
      </c>
      <c r="P4" t="s">
        <v>2</v>
      </c>
    </row>
    <row r="5" spans="1:16">
      <c r="A5" t="s">
        <v>10</v>
      </c>
      <c r="B5" s="17">
        <v>416016</v>
      </c>
      <c r="C5" s="24">
        <v>115391</v>
      </c>
      <c r="E5" t="s">
        <v>11</v>
      </c>
      <c r="F5" s="17">
        <v>1091174</v>
      </c>
      <c r="G5" s="24">
        <v>2145</v>
      </c>
      <c r="I5" t="s">
        <v>12</v>
      </c>
      <c r="J5" s="17">
        <v>1281044</v>
      </c>
      <c r="K5" s="24">
        <v>2685</v>
      </c>
      <c r="M5" t="s">
        <v>6</v>
      </c>
      <c r="N5" t="s">
        <v>13</v>
      </c>
      <c r="O5" s="17">
        <v>565092</v>
      </c>
      <c r="P5" s="24">
        <v>148454</v>
      </c>
    </row>
    <row r="6" spans="1:16">
      <c r="A6" t="s">
        <v>14</v>
      </c>
      <c r="B6" s="17">
        <v>369767</v>
      </c>
      <c r="C6" s="24">
        <v>95946</v>
      </c>
      <c r="E6" t="s">
        <v>15</v>
      </c>
      <c r="F6" s="17">
        <v>978738</v>
      </c>
      <c r="G6" s="24">
        <v>1820</v>
      </c>
      <c r="I6" t="s">
        <v>16</v>
      </c>
      <c r="J6" s="17">
        <v>1385546</v>
      </c>
      <c r="K6" s="24">
        <v>2773</v>
      </c>
      <c r="N6" t="s">
        <v>17</v>
      </c>
      <c r="O6" s="17">
        <v>419950</v>
      </c>
      <c r="P6" s="24">
        <v>110260</v>
      </c>
    </row>
    <row r="7" spans="1:16">
      <c r="A7" t="s">
        <v>18</v>
      </c>
      <c r="B7" s="17">
        <v>1086436</v>
      </c>
      <c r="C7" s="24">
        <v>278814</v>
      </c>
      <c r="E7" t="s">
        <v>19</v>
      </c>
      <c r="F7" s="17">
        <v>1120559</v>
      </c>
      <c r="G7" s="24">
        <v>2479</v>
      </c>
      <c r="I7" t="s">
        <v>20</v>
      </c>
      <c r="J7" s="17">
        <v>1114297</v>
      </c>
      <c r="K7" s="24">
        <v>2371</v>
      </c>
      <c r="N7" t="s">
        <v>21</v>
      </c>
      <c r="O7" s="17">
        <v>503055</v>
      </c>
      <c r="P7" s="24">
        <v>113607</v>
      </c>
    </row>
    <row r="8" spans="1:16">
      <c r="E8" t="s">
        <v>22</v>
      </c>
      <c r="F8" s="17">
        <v>884768</v>
      </c>
      <c r="G8" s="24">
        <v>2041</v>
      </c>
      <c r="I8" t="s">
        <v>23</v>
      </c>
      <c r="J8" s="17">
        <v>1250473</v>
      </c>
      <c r="K8" s="24">
        <v>2725</v>
      </c>
      <c r="N8" t="s">
        <v>24</v>
      </c>
      <c r="O8" s="17">
        <v>566359</v>
      </c>
      <c r="P8" s="24">
        <v>146259</v>
      </c>
    </row>
    <row r="9" spans="1:16">
      <c r="E9" t="s">
        <v>25</v>
      </c>
      <c r="F9" s="17">
        <v>1011475</v>
      </c>
      <c r="G9" s="24">
        <v>1941</v>
      </c>
      <c r="I9" t="s">
        <v>18</v>
      </c>
      <c r="J9" s="17">
        <v>6173150</v>
      </c>
      <c r="K9" s="24">
        <v>12745</v>
      </c>
      <c r="M9" t="s">
        <v>26</v>
      </c>
      <c r="O9" s="17">
        <v>2054456</v>
      </c>
      <c r="P9" s="24">
        <v>518580</v>
      </c>
    </row>
    <row r="10" spans="1:16">
      <c r="A10" s="23" t="s">
        <v>27</v>
      </c>
      <c r="B10" t="s">
        <v>1</v>
      </c>
      <c r="C10" t="s">
        <v>4</v>
      </c>
      <c r="E10" t="s">
        <v>18</v>
      </c>
      <c r="F10" s="17">
        <v>6173150</v>
      </c>
      <c r="G10" s="24">
        <v>12745</v>
      </c>
      <c r="M10" t="s">
        <v>10</v>
      </c>
      <c r="N10" t="s">
        <v>28</v>
      </c>
      <c r="O10" s="17">
        <v>413165</v>
      </c>
      <c r="P10" s="24">
        <v>118000</v>
      </c>
    </row>
    <row r="11" spans="1:16">
      <c r="A11" t="s">
        <v>29</v>
      </c>
      <c r="B11" s="17">
        <v>11179</v>
      </c>
      <c r="C11" s="24">
        <v>20</v>
      </c>
      <c r="N11" t="s">
        <v>30</v>
      </c>
      <c r="O11" s="17">
        <v>431964</v>
      </c>
      <c r="P11" s="24">
        <v>122892</v>
      </c>
    </row>
    <row r="12" spans="1:16">
      <c r="A12" t="s">
        <v>31</v>
      </c>
      <c r="B12" s="17">
        <v>84897</v>
      </c>
      <c r="C12" s="24">
        <v>154</v>
      </c>
      <c r="N12" t="s">
        <v>32</v>
      </c>
      <c r="O12" s="17">
        <v>568367</v>
      </c>
      <c r="P12" s="24">
        <v>142854</v>
      </c>
    </row>
    <row r="13" spans="1:16">
      <c r="A13" t="s">
        <v>33</v>
      </c>
      <c r="B13" s="17">
        <v>78360</v>
      </c>
      <c r="C13" s="24">
        <v>165</v>
      </c>
      <c r="N13" t="s">
        <v>34</v>
      </c>
      <c r="O13" s="17">
        <v>615688</v>
      </c>
      <c r="P13" s="24">
        <v>156796</v>
      </c>
    </row>
    <row r="14" spans="1:16">
      <c r="A14" t="s">
        <v>35</v>
      </c>
      <c r="B14" s="17">
        <v>32121</v>
      </c>
      <c r="C14" s="24">
        <v>72</v>
      </c>
      <c r="M14" t="s">
        <v>36</v>
      </c>
      <c r="O14" s="17">
        <v>2029184</v>
      </c>
      <c r="P14" s="24">
        <v>540542</v>
      </c>
    </row>
    <row r="15" spans="1:16">
      <c r="A15" t="s">
        <v>37</v>
      </c>
      <c r="B15" s="17">
        <v>31710</v>
      </c>
      <c r="C15" s="24">
        <v>50</v>
      </c>
      <c r="M15" t="s">
        <v>14</v>
      </c>
      <c r="N15" t="s">
        <v>38</v>
      </c>
      <c r="O15" s="17">
        <v>384611</v>
      </c>
      <c r="P15" s="24">
        <v>97257</v>
      </c>
    </row>
    <row r="16" spans="1:16">
      <c r="A16" t="s">
        <v>39</v>
      </c>
      <c r="B16" s="17">
        <v>68029</v>
      </c>
      <c r="C16" s="24">
        <v>75</v>
      </c>
      <c r="N16" t="s">
        <v>40</v>
      </c>
      <c r="O16" s="17">
        <v>627875</v>
      </c>
      <c r="P16" s="24">
        <v>174749</v>
      </c>
    </row>
    <row r="17" spans="1:16">
      <c r="A17" t="s">
        <v>41</v>
      </c>
      <c r="B17" s="17">
        <v>66394</v>
      </c>
      <c r="C17" s="24">
        <v>147</v>
      </c>
      <c r="N17" t="s">
        <v>42</v>
      </c>
      <c r="O17" s="17">
        <v>524755</v>
      </c>
      <c r="P17" s="24">
        <v>149723</v>
      </c>
    </row>
    <row r="18" spans="1:16">
      <c r="A18" t="s">
        <v>43</v>
      </c>
      <c r="B18" s="17">
        <v>82798</v>
      </c>
      <c r="C18" s="24">
        <v>197</v>
      </c>
      <c r="N18" t="s">
        <v>44</v>
      </c>
      <c r="O18" s="17">
        <v>552269</v>
      </c>
      <c r="P18" s="24">
        <v>129846</v>
      </c>
    </row>
    <row r="19" spans="1:16">
      <c r="A19" t="s">
        <v>45</v>
      </c>
      <c r="B19" s="17">
        <v>86010</v>
      </c>
      <c r="C19" s="24">
        <v>194</v>
      </c>
      <c r="M19" t="s">
        <v>46</v>
      </c>
      <c r="O19" s="17">
        <v>2089510</v>
      </c>
      <c r="P19" s="24">
        <v>551575</v>
      </c>
    </row>
    <row r="20" spans="1:16">
      <c r="A20" t="s">
        <v>47</v>
      </c>
      <c r="B20" s="17">
        <v>84725</v>
      </c>
      <c r="C20" s="24">
        <v>146</v>
      </c>
      <c r="M20" t="s">
        <v>18</v>
      </c>
      <c r="O20" s="17">
        <v>6173150</v>
      </c>
      <c r="P20" s="24">
        <v>1610697</v>
      </c>
    </row>
    <row r="21" spans="1:16">
      <c r="A21" t="s">
        <v>48</v>
      </c>
      <c r="B21" s="17">
        <v>12997</v>
      </c>
      <c r="C21" s="24">
        <v>48</v>
      </c>
    </row>
    <row r="22" spans="1:16">
      <c r="A22" t="s">
        <v>49</v>
      </c>
      <c r="B22" s="17">
        <v>49047</v>
      </c>
      <c r="C22" s="24">
        <v>109</v>
      </c>
    </row>
    <row r="23" spans="1:16">
      <c r="A23" t="s">
        <v>50</v>
      </c>
      <c r="B23" s="17">
        <v>57969</v>
      </c>
      <c r="C23" s="24">
        <v>97</v>
      </c>
    </row>
    <row r="24" spans="1:16">
      <c r="A24" t="s">
        <v>51</v>
      </c>
      <c r="B24" s="17">
        <v>53951</v>
      </c>
      <c r="C24" s="24">
        <v>89</v>
      </c>
    </row>
    <row r="25" spans="1:16">
      <c r="A25" t="s">
        <v>52</v>
      </c>
      <c r="B25" s="17">
        <v>80790</v>
      </c>
      <c r="C25" s="24">
        <v>154</v>
      </c>
    </row>
    <row r="26" spans="1:16">
      <c r="A26" t="s">
        <v>53</v>
      </c>
      <c r="B26" s="17">
        <v>56841</v>
      </c>
      <c r="C26" s="24">
        <v>159</v>
      </c>
    </row>
    <row r="27" spans="1:16">
      <c r="A27" t="s">
        <v>54</v>
      </c>
      <c r="B27" s="17">
        <v>52669</v>
      </c>
      <c r="C27" s="24">
        <v>89</v>
      </c>
    </row>
    <row r="28" spans="1:16">
      <c r="A28" t="s">
        <v>55</v>
      </c>
      <c r="B28" s="17">
        <v>63733</v>
      </c>
      <c r="C28" s="24">
        <v>165</v>
      </c>
    </row>
    <row r="29" spans="1:16">
      <c r="A29" t="s">
        <v>56</v>
      </c>
      <c r="B29" s="17">
        <v>29613</v>
      </c>
      <c r="C29" s="24">
        <v>68</v>
      </c>
    </row>
    <row r="30" spans="1:16">
      <c r="A30" t="s">
        <v>57</v>
      </c>
      <c r="B30" s="17">
        <v>121993</v>
      </c>
      <c r="C30" s="24">
        <v>182</v>
      </c>
    </row>
    <row r="31" spans="1:16">
      <c r="A31" t="s">
        <v>58</v>
      </c>
      <c r="B31" s="17">
        <v>106979</v>
      </c>
      <c r="C31" s="24">
        <v>213</v>
      </c>
    </row>
    <row r="32" spans="1:16">
      <c r="A32" t="s">
        <v>59</v>
      </c>
      <c r="B32" s="17">
        <v>107107</v>
      </c>
      <c r="C32" s="24">
        <v>262</v>
      </c>
    </row>
    <row r="33" spans="1:3">
      <c r="A33" t="s">
        <v>60</v>
      </c>
      <c r="B33" s="17">
        <v>95542</v>
      </c>
      <c r="C33" s="24">
        <v>154</v>
      </c>
    </row>
    <row r="34" spans="1:3">
      <c r="A34" t="s">
        <v>61</v>
      </c>
      <c r="B34" s="17">
        <v>64929</v>
      </c>
      <c r="C34" s="24">
        <v>142</v>
      </c>
    </row>
    <row r="35" spans="1:3">
      <c r="A35" t="s">
        <v>62</v>
      </c>
      <c r="B35" s="17">
        <v>62362</v>
      </c>
      <c r="C35" s="24">
        <v>149</v>
      </c>
    </row>
    <row r="36" spans="1:3">
      <c r="A36" t="s">
        <v>63</v>
      </c>
      <c r="B36" s="17">
        <v>76762</v>
      </c>
      <c r="C36" s="24">
        <v>167</v>
      </c>
    </row>
    <row r="37" spans="1:3">
      <c r="A37" t="s">
        <v>64</v>
      </c>
      <c r="B37" s="17">
        <v>66092</v>
      </c>
      <c r="C37" s="24">
        <v>154</v>
      </c>
    </row>
    <row r="38" spans="1:3">
      <c r="A38" t="s">
        <v>65</v>
      </c>
      <c r="B38" s="17">
        <v>111987</v>
      </c>
      <c r="C38" s="24">
        <v>239</v>
      </c>
    </row>
    <row r="39" spans="1:3">
      <c r="A39" t="s">
        <v>66</v>
      </c>
      <c r="B39" s="17">
        <v>40090</v>
      </c>
      <c r="C39" s="24">
        <v>151</v>
      </c>
    </row>
    <row r="40" spans="1:3">
      <c r="A40" t="s">
        <v>67</v>
      </c>
      <c r="B40" s="17">
        <v>163130</v>
      </c>
      <c r="C40" s="24">
        <v>305</v>
      </c>
    </row>
    <row r="41" spans="1:3">
      <c r="A41" t="s">
        <v>68</v>
      </c>
      <c r="B41" s="17">
        <v>33633</v>
      </c>
      <c r="C41" s="24">
        <v>80</v>
      </c>
    </row>
    <row r="42" spans="1:3">
      <c r="A42" t="s">
        <v>69</v>
      </c>
      <c r="B42" s="17">
        <v>107314</v>
      </c>
      <c r="C42" s="24">
        <v>173</v>
      </c>
    </row>
    <row r="43" spans="1:3">
      <c r="A43" t="s">
        <v>70</v>
      </c>
      <c r="B43" s="17">
        <v>29945</v>
      </c>
      <c r="C43" s="24">
        <v>66</v>
      </c>
    </row>
    <row r="44" spans="1:3">
      <c r="A44" t="s">
        <v>71</v>
      </c>
      <c r="B44" s="17">
        <v>129538</v>
      </c>
      <c r="C44" s="24">
        <v>314</v>
      </c>
    </row>
    <row r="45" spans="1:3">
      <c r="A45" t="s">
        <v>72</v>
      </c>
      <c r="B45" s="17">
        <v>33007</v>
      </c>
      <c r="C45" s="24">
        <v>94</v>
      </c>
    </row>
    <row r="46" spans="1:3">
      <c r="A46" t="s">
        <v>73</v>
      </c>
      <c r="B46" s="17">
        <v>56064</v>
      </c>
      <c r="C46" s="24">
        <v>137</v>
      </c>
    </row>
    <row r="47" spans="1:3">
      <c r="A47" t="s">
        <v>74</v>
      </c>
      <c r="B47" s="17">
        <v>36013</v>
      </c>
      <c r="C47" s="24">
        <v>61</v>
      </c>
    </row>
    <row r="48" spans="1:3">
      <c r="A48" t="s">
        <v>75</v>
      </c>
      <c r="B48" s="17">
        <v>65142</v>
      </c>
      <c r="C48" s="24">
        <v>185</v>
      </c>
    </row>
    <row r="49" spans="1:3">
      <c r="A49" t="s">
        <v>76</v>
      </c>
      <c r="B49" s="17">
        <v>34613</v>
      </c>
      <c r="C49" s="24">
        <v>75</v>
      </c>
    </row>
    <row r="50" spans="1:3">
      <c r="A50" t="s">
        <v>77</v>
      </c>
      <c r="B50" s="17">
        <v>33441</v>
      </c>
      <c r="C50" s="24">
        <v>76</v>
      </c>
    </row>
    <row r="51" spans="1:3">
      <c r="A51" t="s">
        <v>78</v>
      </c>
      <c r="B51" s="17">
        <v>107377</v>
      </c>
      <c r="C51" s="24">
        <v>238</v>
      </c>
    </row>
    <row r="52" spans="1:3">
      <c r="A52" t="s">
        <v>79</v>
      </c>
      <c r="B52" s="17">
        <v>40601</v>
      </c>
      <c r="C52" s="24">
        <v>85</v>
      </c>
    </row>
    <row r="53" spans="1:3">
      <c r="A53" t="s">
        <v>80</v>
      </c>
      <c r="B53" s="17">
        <v>58469</v>
      </c>
      <c r="C53" s="24">
        <v>131</v>
      </c>
    </row>
    <row r="54" spans="1:3">
      <c r="A54" t="s">
        <v>81</v>
      </c>
      <c r="B54" s="17">
        <v>71701</v>
      </c>
      <c r="C54" s="24">
        <v>152</v>
      </c>
    </row>
    <row r="55" spans="1:3">
      <c r="A55" t="s">
        <v>82</v>
      </c>
      <c r="B55" s="17">
        <v>75020</v>
      </c>
      <c r="C55" s="24">
        <v>130</v>
      </c>
    </row>
    <row r="56" spans="1:3">
      <c r="A56" t="s">
        <v>83</v>
      </c>
      <c r="B56" s="17">
        <v>70467</v>
      </c>
      <c r="C56" s="24">
        <v>124</v>
      </c>
    </row>
    <row r="57" spans="1:3">
      <c r="A57" t="s">
        <v>84</v>
      </c>
      <c r="B57" s="17">
        <v>34581</v>
      </c>
      <c r="C57" s="24">
        <v>140</v>
      </c>
    </row>
    <row r="58" spans="1:3">
      <c r="A58" t="s">
        <v>85</v>
      </c>
      <c r="B58" s="17">
        <v>77724</v>
      </c>
      <c r="C58" s="24">
        <v>145</v>
      </c>
    </row>
    <row r="59" spans="1:3">
      <c r="A59" t="s">
        <v>86</v>
      </c>
      <c r="B59" s="17">
        <v>93283</v>
      </c>
      <c r="C59" s="24">
        <v>181</v>
      </c>
    </row>
    <row r="60" spans="1:3">
      <c r="A60" t="s">
        <v>87</v>
      </c>
      <c r="B60" s="17">
        <v>109959</v>
      </c>
      <c r="C60" s="24">
        <v>108</v>
      </c>
    </row>
    <row r="61" spans="1:3">
      <c r="A61" t="s">
        <v>88</v>
      </c>
      <c r="B61" s="17">
        <v>95315</v>
      </c>
      <c r="C61" s="24">
        <v>169</v>
      </c>
    </row>
    <row r="62" spans="1:3">
      <c r="A62" t="s">
        <v>89</v>
      </c>
      <c r="B62" s="17">
        <v>99812</v>
      </c>
      <c r="C62" s="24">
        <v>247</v>
      </c>
    </row>
    <row r="63" spans="1:3">
      <c r="A63" t="s">
        <v>90</v>
      </c>
      <c r="B63" s="17">
        <v>106562</v>
      </c>
      <c r="C63" s="24">
        <v>222</v>
      </c>
    </row>
    <row r="64" spans="1:3">
      <c r="A64" t="s">
        <v>91</v>
      </c>
      <c r="B64" s="17">
        <v>40423</v>
      </c>
      <c r="C64" s="24">
        <v>89</v>
      </c>
    </row>
    <row r="65" spans="1:3">
      <c r="A65" t="s">
        <v>92</v>
      </c>
      <c r="B65" s="17">
        <v>50855</v>
      </c>
      <c r="C65" s="24">
        <v>105</v>
      </c>
    </row>
    <row r="66" spans="1:3">
      <c r="A66" t="s">
        <v>93</v>
      </c>
      <c r="B66" s="17">
        <v>54574</v>
      </c>
      <c r="C66" s="24">
        <v>120</v>
      </c>
    </row>
    <row r="67" spans="1:3">
      <c r="A67" t="s">
        <v>94</v>
      </c>
      <c r="B67" s="17">
        <v>51222</v>
      </c>
      <c r="C67" s="24">
        <v>150</v>
      </c>
    </row>
    <row r="68" spans="1:3">
      <c r="A68" t="s">
        <v>95</v>
      </c>
      <c r="B68" s="17">
        <v>69538</v>
      </c>
      <c r="C68" s="24">
        <v>129</v>
      </c>
    </row>
    <row r="69" spans="1:3">
      <c r="A69" t="s">
        <v>96</v>
      </c>
      <c r="B69" s="17">
        <v>61092</v>
      </c>
      <c r="C69" s="24">
        <v>93</v>
      </c>
    </row>
    <row r="70" spans="1:3">
      <c r="A70" t="s">
        <v>97</v>
      </c>
      <c r="B70" s="17">
        <v>51173</v>
      </c>
      <c r="C70" s="24">
        <v>100</v>
      </c>
    </row>
    <row r="71" spans="1:3">
      <c r="A71" t="s">
        <v>98</v>
      </c>
      <c r="B71" s="17">
        <v>39430</v>
      </c>
      <c r="C71" s="24">
        <v>52</v>
      </c>
    </row>
    <row r="72" spans="1:3">
      <c r="A72" t="s">
        <v>18</v>
      </c>
      <c r="B72" s="17">
        <v>4118694</v>
      </c>
      <c r="C72" s="24">
        <v>8487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5"/>
  <sheetViews>
    <sheetView workbookViewId="0">
      <selection activeCell="D5" sqref="D5"/>
    </sheetView>
  </sheetViews>
  <sheetFormatPr defaultRowHeight="15"/>
  <cols>
    <col min="1" max="1" width="13.85546875" customWidth="1"/>
    <col min="2" max="2" width="11.7109375" style="22" customWidth="1"/>
    <col min="3" max="3" width="11" style="12" customWidth="1"/>
    <col min="4" max="4" width="12.28515625" style="12" customWidth="1"/>
    <col min="5" max="5" width="16.28515625" style="12" customWidth="1"/>
    <col min="6" max="6" width="18.7109375" customWidth="1"/>
    <col min="7" max="7" width="15.42578125" customWidth="1"/>
    <col min="8" max="8" width="14.7109375" style="12" customWidth="1"/>
    <col min="9" max="9" width="19.140625" customWidth="1"/>
    <col min="10" max="10" width="15.5703125" customWidth="1"/>
    <col min="11" max="11" width="14.140625" customWidth="1"/>
    <col min="15" max="15" width="9.5703125" customWidth="1"/>
  </cols>
  <sheetData>
    <row r="1" spans="1:15">
      <c r="A1" s="1" t="s">
        <v>99</v>
      </c>
      <c r="B1" s="18" t="s">
        <v>100</v>
      </c>
      <c r="C1" s="7" t="s">
        <v>101</v>
      </c>
      <c r="D1" s="7" t="s">
        <v>102</v>
      </c>
      <c r="E1" s="7" t="s">
        <v>0</v>
      </c>
      <c r="F1" s="2" t="s">
        <v>9</v>
      </c>
      <c r="G1" s="2" t="s">
        <v>5</v>
      </c>
      <c r="H1" s="7" t="s">
        <v>103</v>
      </c>
      <c r="I1" s="2" t="s">
        <v>104</v>
      </c>
      <c r="J1" s="2" t="s">
        <v>3</v>
      </c>
      <c r="K1" s="2" t="s">
        <v>105</v>
      </c>
      <c r="L1" s="2" t="s">
        <v>27</v>
      </c>
    </row>
    <row r="2" spans="1:15">
      <c r="A2" s="3" t="s">
        <v>106</v>
      </c>
      <c r="B2" s="19">
        <v>9992</v>
      </c>
      <c r="C2" s="8">
        <v>3696</v>
      </c>
      <c r="D2" s="8">
        <v>20</v>
      </c>
      <c r="E2" s="8" t="s">
        <v>14</v>
      </c>
      <c r="F2" s="4" t="s">
        <v>44</v>
      </c>
      <c r="G2" s="4" t="s">
        <v>16</v>
      </c>
      <c r="H2" s="10">
        <v>44449</v>
      </c>
      <c r="I2" s="4" t="s">
        <v>107</v>
      </c>
      <c r="J2" s="4" t="s">
        <v>19</v>
      </c>
      <c r="K2" s="4" t="s">
        <v>108</v>
      </c>
      <c r="L2" s="4" t="s">
        <v>57</v>
      </c>
    </row>
    <row r="3" spans="1:15">
      <c r="A3" s="5" t="s">
        <v>106</v>
      </c>
      <c r="B3" s="20">
        <v>9992</v>
      </c>
      <c r="C3" s="9">
        <v>3696</v>
      </c>
      <c r="D3" s="9">
        <v>20</v>
      </c>
      <c r="E3" s="9" t="s">
        <v>14</v>
      </c>
      <c r="F3" s="6" t="s">
        <v>44</v>
      </c>
      <c r="G3" s="6" t="s">
        <v>16</v>
      </c>
      <c r="H3" s="9" t="s">
        <v>109</v>
      </c>
      <c r="I3" s="6" t="s">
        <v>110</v>
      </c>
      <c r="J3" s="6" t="s">
        <v>25</v>
      </c>
      <c r="K3" s="6" t="s">
        <v>111</v>
      </c>
      <c r="L3" s="6" t="s">
        <v>63</v>
      </c>
    </row>
    <row r="4" spans="1:15">
      <c r="A4" s="3" t="s">
        <v>106</v>
      </c>
      <c r="B4" s="19">
        <v>9992</v>
      </c>
      <c r="C4" s="8">
        <v>3696</v>
      </c>
      <c r="D4" s="8">
        <v>20</v>
      </c>
      <c r="E4" s="8" t="s">
        <v>14</v>
      </c>
      <c r="F4" s="4" t="s">
        <v>44</v>
      </c>
      <c r="G4" s="4" t="s">
        <v>16</v>
      </c>
      <c r="H4" s="8" t="s">
        <v>112</v>
      </c>
      <c r="I4" s="4" t="s">
        <v>113</v>
      </c>
      <c r="J4" s="4" t="s">
        <v>19</v>
      </c>
      <c r="K4" s="4" t="s">
        <v>108</v>
      </c>
      <c r="L4" s="4" t="s">
        <v>67</v>
      </c>
    </row>
    <row r="5" spans="1:15">
      <c r="A5" s="5" t="s">
        <v>114</v>
      </c>
      <c r="B5" s="20">
        <v>9989</v>
      </c>
      <c r="C5" s="9">
        <v>3930</v>
      </c>
      <c r="D5" s="9">
        <v>14</v>
      </c>
      <c r="E5" s="9" t="s">
        <v>10</v>
      </c>
      <c r="F5" s="6" t="s">
        <v>34</v>
      </c>
      <c r="G5" s="6" t="s">
        <v>16</v>
      </c>
      <c r="H5" s="9" t="s">
        <v>115</v>
      </c>
      <c r="I5" s="6" t="s">
        <v>116</v>
      </c>
      <c r="J5" s="6" t="s">
        <v>22</v>
      </c>
      <c r="K5" s="6" t="s">
        <v>117</v>
      </c>
      <c r="L5" s="6" t="s">
        <v>62</v>
      </c>
      <c r="M5" s="17"/>
    </row>
    <row r="6" spans="1:15">
      <c r="A6" s="5" t="s">
        <v>114</v>
      </c>
      <c r="B6" s="20">
        <v>9989</v>
      </c>
      <c r="C6" s="9">
        <v>3930</v>
      </c>
      <c r="D6" s="9">
        <v>14</v>
      </c>
      <c r="E6" s="9" t="s">
        <v>10</v>
      </c>
      <c r="F6" s="6" t="s">
        <v>34</v>
      </c>
      <c r="G6" s="6" t="s">
        <v>16</v>
      </c>
      <c r="H6" s="9" t="s">
        <v>118</v>
      </c>
      <c r="I6" s="6" t="s">
        <v>119</v>
      </c>
      <c r="J6" s="6" t="s">
        <v>11</v>
      </c>
      <c r="K6" s="6" t="s">
        <v>120</v>
      </c>
      <c r="L6" s="6" t="s">
        <v>68</v>
      </c>
      <c r="O6" s="16"/>
    </row>
    <row r="7" spans="1:15">
      <c r="A7" s="3" t="s">
        <v>121</v>
      </c>
      <c r="B7" s="19">
        <v>9965</v>
      </c>
      <c r="C7" s="8">
        <v>3033</v>
      </c>
      <c r="D7" s="8">
        <v>16</v>
      </c>
      <c r="E7" s="8" t="s">
        <v>14</v>
      </c>
      <c r="F7" s="4" t="s">
        <v>40</v>
      </c>
      <c r="G7" s="4" t="s">
        <v>8</v>
      </c>
      <c r="H7" s="8" t="s">
        <v>122</v>
      </c>
      <c r="I7" s="4" t="s">
        <v>123</v>
      </c>
      <c r="J7" s="4" t="s">
        <v>7</v>
      </c>
      <c r="K7" s="4" t="s">
        <v>124</v>
      </c>
      <c r="L7" s="4" t="s">
        <v>35</v>
      </c>
    </row>
    <row r="8" spans="1:15">
      <c r="A8" s="5" t="s">
        <v>121</v>
      </c>
      <c r="B8" s="20">
        <v>9965</v>
      </c>
      <c r="C8" s="9">
        <v>3033</v>
      </c>
      <c r="D8" s="9">
        <v>16</v>
      </c>
      <c r="E8" s="9" t="s">
        <v>14</v>
      </c>
      <c r="F8" s="6" t="s">
        <v>40</v>
      </c>
      <c r="G8" s="6" t="s">
        <v>8</v>
      </c>
      <c r="H8" s="11">
        <v>44935</v>
      </c>
      <c r="I8" s="6" t="s">
        <v>125</v>
      </c>
      <c r="J8" s="6" t="s">
        <v>19</v>
      </c>
      <c r="K8" s="6" t="s">
        <v>126</v>
      </c>
      <c r="L8" s="6" t="s">
        <v>80</v>
      </c>
    </row>
    <row r="9" spans="1:15">
      <c r="A9" s="3" t="s">
        <v>127</v>
      </c>
      <c r="B9" s="19">
        <v>9952</v>
      </c>
      <c r="C9" s="8">
        <v>3301</v>
      </c>
      <c r="D9" s="8">
        <v>15</v>
      </c>
      <c r="E9" s="8" t="s">
        <v>6</v>
      </c>
      <c r="F9" s="4" t="s">
        <v>13</v>
      </c>
      <c r="G9" s="4" t="s">
        <v>16</v>
      </c>
      <c r="H9" s="10">
        <v>45202</v>
      </c>
      <c r="I9" s="4" t="s">
        <v>128</v>
      </c>
      <c r="J9" s="4" t="s">
        <v>25</v>
      </c>
      <c r="K9" s="4" t="s">
        <v>129</v>
      </c>
      <c r="L9" s="4" t="s">
        <v>74</v>
      </c>
    </row>
    <row r="10" spans="1:15">
      <c r="A10" s="3" t="s">
        <v>130</v>
      </c>
      <c r="B10" s="19">
        <v>9921</v>
      </c>
      <c r="C10" s="8">
        <v>1451</v>
      </c>
      <c r="D10" s="8">
        <v>15</v>
      </c>
      <c r="E10" s="8" t="s">
        <v>10</v>
      </c>
      <c r="F10" s="4" t="s">
        <v>32</v>
      </c>
      <c r="G10" s="4" t="s">
        <v>20</v>
      </c>
      <c r="H10" s="10">
        <v>44534</v>
      </c>
      <c r="I10" s="4" t="s">
        <v>131</v>
      </c>
      <c r="J10" s="4" t="s">
        <v>15</v>
      </c>
      <c r="K10" s="4" t="s">
        <v>132</v>
      </c>
      <c r="L10" s="4" t="s">
        <v>51</v>
      </c>
      <c r="M10" s="17"/>
    </row>
    <row r="11" spans="1:15">
      <c r="A11" s="3" t="s">
        <v>133</v>
      </c>
      <c r="B11" s="19">
        <v>9916</v>
      </c>
      <c r="C11" s="8">
        <v>4602</v>
      </c>
      <c r="D11" s="8">
        <v>14</v>
      </c>
      <c r="E11" s="8" t="s">
        <v>10</v>
      </c>
      <c r="F11" s="4" t="s">
        <v>30</v>
      </c>
      <c r="G11" s="4" t="s">
        <v>23</v>
      </c>
      <c r="H11" s="10">
        <v>44776</v>
      </c>
      <c r="I11" s="4" t="s">
        <v>134</v>
      </c>
      <c r="J11" s="4" t="s">
        <v>22</v>
      </c>
      <c r="K11" s="4" t="s">
        <v>117</v>
      </c>
      <c r="L11" s="4" t="s">
        <v>62</v>
      </c>
      <c r="M11" s="17"/>
    </row>
    <row r="12" spans="1:15">
      <c r="A12" s="5" t="s">
        <v>133</v>
      </c>
      <c r="B12" s="20">
        <v>9916</v>
      </c>
      <c r="C12" s="9">
        <v>4602</v>
      </c>
      <c r="D12" s="9">
        <v>14</v>
      </c>
      <c r="E12" s="9" t="s">
        <v>10</v>
      </c>
      <c r="F12" s="6" t="s">
        <v>30</v>
      </c>
      <c r="G12" s="6" t="s">
        <v>23</v>
      </c>
      <c r="H12" s="11">
        <v>44785</v>
      </c>
      <c r="I12" s="6" t="s">
        <v>135</v>
      </c>
      <c r="J12" s="6" t="s">
        <v>11</v>
      </c>
      <c r="K12" s="6" t="s">
        <v>136</v>
      </c>
      <c r="L12" s="6" t="s">
        <v>71</v>
      </c>
    </row>
    <row r="13" spans="1:15">
      <c r="A13" s="5" t="s">
        <v>137</v>
      </c>
      <c r="B13" s="20">
        <v>9914</v>
      </c>
      <c r="C13" s="9">
        <v>3858</v>
      </c>
      <c r="D13" s="9">
        <v>16</v>
      </c>
      <c r="E13" s="9" t="s">
        <v>10</v>
      </c>
      <c r="F13" s="6" t="s">
        <v>32</v>
      </c>
      <c r="G13" s="6" t="s">
        <v>12</v>
      </c>
      <c r="H13" s="9" t="s">
        <v>138</v>
      </c>
      <c r="I13" s="6" t="s">
        <v>139</v>
      </c>
      <c r="J13" s="6" t="s">
        <v>19</v>
      </c>
      <c r="K13" s="6" t="s">
        <v>126</v>
      </c>
      <c r="L13" s="6" t="s">
        <v>65</v>
      </c>
    </row>
    <row r="14" spans="1:15">
      <c r="A14" s="3" t="s">
        <v>137</v>
      </c>
      <c r="B14" s="19">
        <v>9914</v>
      </c>
      <c r="C14" s="8">
        <v>3858</v>
      </c>
      <c r="D14" s="8">
        <v>16</v>
      </c>
      <c r="E14" s="8" t="s">
        <v>10</v>
      </c>
      <c r="F14" s="4" t="s">
        <v>32</v>
      </c>
      <c r="G14" s="4" t="s">
        <v>12</v>
      </c>
      <c r="H14" s="10">
        <v>45510</v>
      </c>
      <c r="I14" s="4" t="s">
        <v>140</v>
      </c>
      <c r="J14" s="4" t="s">
        <v>19</v>
      </c>
      <c r="K14" s="4" t="s">
        <v>108</v>
      </c>
      <c r="L14" s="4" t="s">
        <v>89</v>
      </c>
    </row>
    <row r="15" spans="1:15">
      <c r="A15" s="5" t="s">
        <v>141</v>
      </c>
      <c r="B15" s="20">
        <v>9909</v>
      </c>
      <c r="C15" s="9">
        <v>2999</v>
      </c>
      <c r="D15" s="9">
        <v>18</v>
      </c>
      <c r="E15" s="9" t="s">
        <v>14</v>
      </c>
      <c r="F15" s="6" t="s">
        <v>40</v>
      </c>
      <c r="G15" s="6" t="s">
        <v>8</v>
      </c>
      <c r="H15" s="9" t="s">
        <v>142</v>
      </c>
      <c r="I15" s="6" t="s">
        <v>143</v>
      </c>
      <c r="J15" s="6" t="s">
        <v>22</v>
      </c>
      <c r="K15" s="6" t="s">
        <v>117</v>
      </c>
      <c r="L15" s="6" t="s">
        <v>52</v>
      </c>
    </row>
    <row r="16" spans="1:15">
      <c r="A16" s="3" t="s">
        <v>141</v>
      </c>
      <c r="B16" s="19">
        <v>9909</v>
      </c>
      <c r="C16" s="8">
        <v>2999</v>
      </c>
      <c r="D16" s="8">
        <v>18</v>
      </c>
      <c r="E16" s="8" t="s">
        <v>14</v>
      </c>
      <c r="F16" s="4" t="s">
        <v>40</v>
      </c>
      <c r="G16" s="4" t="s">
        <v>8</v>
      </c>
      <c r="H16" s="8" t="s">
        <v>144</v>
      </c>
      <c r="I16" s="4" t="s">
        <v>145</v>
      </c>
      <c r="J16" s="4" t="s">
        <v>25</v>
      </c>
      <c r="K16" s="4" t="s">
        <v>111</v>
      </c>
      <c r="L16" s="4" t="s">
        <v>60</v>
      </c>
    </row>
    <row r="17" spans="1:12">
      <c r="A17" s="3" t="s">
        <v>146</v>
      </c>
      <c r="B17" s="19">
        <v>9905</v>
      </c>
      <c r="C17" s="8">
        <v>633</v>
      </c>
      <c r="D17" s="8">
        <v>17</v>
      </c>
      <c r="E17" s="8" t="s">
        <v>14</v>
      </c>
      <c r="F17" s="4" t="s">
        <v>44</v>
      </c>
      <c r="G17" s="4" t="s">
        <v>20</v>
      </c>
      <c r="H17" s="8" t="s">
        <v>147</v>
      </c>
      <c r="I17" s="4" t="s">
        <v>148</v>
      </c>
      <c r="J17" s="4" t="s">
        <v>25</v>
      </c>
      <c r="K17" s="4" t="s">
        <v>129</v>
      </c>
      <c r="L17" s="4" t="s">
        <v>54</v>
      </c>
    </row>
    <row r="18" spans="1:12">
      <c r="A18" s="5" t="s">
        <v>146</v>
      </c>
      <c r="B18" s="20">
        <v>9905</v>
      </c>
      <c r="C18" s="9">
        <v>633</v>
      </c>
      <c r="D18" s="9">
        <v>17</v>
      </c>
      <c r="E18" s="9" t="s">
        <v>14</v>
      </c>
      <c r="F18" s="6" t="s">
        <v>44</v>
      </c>
      <c r="G18" s="6" t="s">
        <v>20</v>
      </c>
      <c r="H18" s="11">
        <v>44237</v>
      </c>
      <c r="I18" s="6" t="s">
        <v>149</v>
      </c>
      <c r="J18" s="6" t="s">
        <v>11</v>
      </c>
      <c r="K18" s="6" t="s">
        <v>136</v>
      </c>
      <c r="L18" s="6" t="s">
        <v>57</v>
      </c>
    </row>
    <row r="19" spans="1:12">
      <c r="A19" s="5" t="s">
        <v>150</v>
      </c>
      <c r="B19" s="20">
        <v>9895</v>
      </c>
      <c r="C19" s="9">
        <v>1598</v>
      </c>
      <c r="D19" s="9">
        <v>20</v>
      </c>
      <c r="E19" s="9" t="s">
        <v>10</v>
      </c>
      <c r="F19" s="6" t="s">
        <v>28</v>
      </c>
      <c r="G19" s="6" t="s">
        <v>8</v>
      </c>
      <c r="H19" s="9" t="s">
        <v>151</v>
      </c>
      <c r="I19" s="6" t="s">
        <v>152</v>
      </c>
      <c r="J19" s="6" t="s">
        <v>19</v>
      </c>
      <c r="K19" s="6" t="s">
        <v>108</v>
      </c>
      <c r="L19" s="6" t="s">
        <v>83</v>
      </c>
    </row>
    <row r="20" spans="1:12">
      <c r="A20" s="5" t="s">
        <v>153</v>
      </c>
      <c r="B20" s="20">
        <v>9894</v>
      </c>
      <c r="C20" s="9">
        <v>3698</v>
      </c>
      <c r="D20" s="9">
        <v>20</v>
      </c>
      <c r="E20" s="9" t="s">
        <v>14</v>
      </c>
      <c r="F20" s="6" t="s">
        <v>42</v>
      </c>
      <c r="G20" s="6" t="s">
        <v>20</v>
      </c>
      <c r="H20" s="9" t="s">
        <v>154</v>
      </c>
      <c r="I20" s="6" t="s">
        <v>155</v>
      </c>
      <c r="J20" s="6" t="s">
        <v>11</v>
      </c>
      <c r="K20" s="6" t="s">
        <v>156</v>
      </c>
      <c r="L20" s="6" t="s">
        <v>85</v>
      </c>
    </row>
    <row r="21" spans="1:12">
      <c r="A21" s="3" t="s">
        <v>153</v>
      </c>
      <c r="B21" s="19">
        <v>9894</v>
      </c>
      <c r="C21" s="8">
        <v>3698</v>
      </c>
      <c r="D21" s="8">
        <v>20</v>
      </c>
      <c r="E21" s="8" t="s">
        <v>14</v>
      </c>
      <c r="F21" s="4" t="s">
        <v>42</v>
      </c>
      <c r="G21" s="4" t="s">
        <v>20</v>
      </c>
      <c r="H21" s="8" t="s">
        <v>157</v>
      </c>
      <c r="I21" s="4" t="s">
        <v>158</v>
      </c>
      <c r="J21" s="4" t="s">
        <v>11</v>
      </c>
      <c r="K21" s="4" t="s">
        <v>156</v>
      </c>
      <c r="L21" s="4" t="s">
        <v>53</v>
      </c>
    </row>
    <row r="22" spans="1:12">
      <c r="A22" s="5" t="s">
        <v>159</v>
      </c>
      <c r="B22" s="20">
        <v>9894</v>
      </c>
      <c r="C22" s="9">
        <v>829</v>
      </c>
      <c r="D22" s="9">
        <v>1</v>
      </c>
      <c r="E22" s="9" t="s">
        <v>14</v>
      </c>
      <c r="F22" s="6" t="s">
        <v>38</v>
      </c>
      <c r="G22" s="6" t="s">
        <v>8</v>
      </c>
      <c r="H22" s="9" t="s">
        <v>160</v>
      </c>
      <c r="I22" s="6" t="s">
        <v>161</v>
      </c>
      <c r="J22" s="6" t="s">
        <v>7</v>
      </c>
      <c r="K22" s="6" t="s">
        <v>162</v>
      </c>
      <c r="L22" s="6" t="s">
        <v>67</v>
      </c>
    </row>
    <row r="23" spans="1:12">
      <c r="A23" s="5" t="s">
        <v>163</v>
      </c>
      <c r="B23" s="20">
        <v>9884</v>
      </c>
      <c r="C23" s="9">
        <v>4446</v>
      </c>
      <c r="D23" s="9">
        <v>7</v>
      </c>
      <c r="E23" s="9" t="s">
        <v>6</v>
      </c>
      <c r="F23" s="6" t="s">
        <v>24</v>
      </c>
      <c r="G23" s="6" t="s">
        <v>20</v>
      </c>
      <c r="H23" s="11">
        <v>43925</v>
      </c>
      <c r="I23" s="6" t="s">
        <v>164</v>
      </c>
      <c r="J23" s="6" t="s">
        <v>11</v>
      </c>
      <c r="K23" s="6" t="s">
        <v>156</v>
      </c>
      <c r="L23" s="6" t="s">
        <v>31</v>
      </c>
    </row>
    <row r="24" spans="1:12">
      <c r="A24" s="5" t="s">
        <v>165</v>
      </c>
      <c r="B24" s="20">
        <v>9883</v>
      </c>
      <c r="C24" s="9">
        <v>4812</v>
      </c>
      <c r="D24" s="9">
        <v>16</v>
      </c>
      <c r="E24" s="9" t="s">
        <v>14</v>
      </c>
      <c r="F24" s="6" t="s">
        <v>42</v>
      </c>
      <c r="G24" s="6" t="s">
        <v>23</v>
      </c>
      <c r="H24" s="9" t="s">
        <v>166</v>
      </c>
      <c r="I24" s="6" t="s">
        <v>167</v>
      </c>
      <c r="J24" s="6" t="s">
        <v>19</v>
      </c>
      <c r="K24" s="6" t="s">
        <v>126</v>
      </c>
      <c r="L24" s="6" t="s">
        <v>43</v>
      </c>
    </row>
    <row r="25" spans="1:12">
      <c r="A25" s="3" t="s">
        <v>165</v>
      </c>
      <c r="B25" s="19">
        <v>9883</v>
      </c>
      <c r="C25" s="8">
        <v>4812</v>
      </c>
      <c r="D25" s="8">
        <v>16</v>
      </c>
      <c r="E25" s="8" t="s">
        <v>14</v>
      </c>
      <c r="F25" s="4" t="s">
        <v>42</v>
      </c>
      <c r="G25" s="4" t="s">
        <v>23</v>
      </c>
      <c r="H25" s="10">
        <v>44873</v>
      </c>
      <c r="I25" s="4" t="s">
        <v>168</v>
      </c>
      <c r="J25" s="4" t="s">
        <v>11</v>
      </c>
      <c r="K25" s="4" t="s">
        <v>120</v>
      </c>
      <c r="L25" s="4" t="s">
        <v>67</v>
      </c>
    </row>
    <row r="26" spans="1:12">
      <c r="A26" s="5" t="s">
        <v>165</v>
      </c>
      <c r="B26" s="20">
        <v>9883</v>
      </c>
      <c r="C26" s="9">
        <v>4812</v>
      </c>
      <c r="D26" s="9">
        <v>16</v>
      </c>
      <c r="E26" s="9" t="s">
        <v>14</v>
      </c>
      <c r="F26" s="6" t="s">
        <v>42</v>
      </c>
      <c r="G26" s="6" t="s">
        <v>23</v>
      </c>
      <c r="H26" s="9" t="s">
        <v>169</v>
      </c>
      <c r="I26" s="6" t="s">
        <v>170</v>
      </c>
      <c r="J26" s="6" t="s">
        <v>15</v>
      </c>
      <c r="K26" s="6" t="s">
        <v>171</v>
      </c>
      <c r="L26" s="6" t="s">
        <v>57</v>
      </c>
    </row>
    <row r="27" spans="1:12">
      <c r="A27" s="3" t="s">
        <v>172</v>
      </c>
      <c r="B27" s="19">
        <v>9879</v>
      </c>
      <c r="C27" s="8">
        <v>4930</v>
      </c>
      <c r="D27" s="8">
        <v>15</v>
      </c>
      <c r="E27" s="8" t="s">
        <v>6</v>
      </c>
      <c r="F27" s="4" t="s">
        <v>17</v>
      </c>
      <c r="G27" s="4" t="s">
        <v>16</v>
      </c>
      <c r="H27" s="10">
        <v>45144</v>
      </c>
      <c r="I27" s="4" t="s">
        <v>173</v>
      </c>
      <c r="J27" s="4" t="s">
        <v>19</v>
      </c>
      <c r="K27" s="4" t="s">
        <v>108</v>
      </c>
      <c r="L27" s="4" t="s">
        <v>77</v>
      </c>
    </row>
    <row r="28" spans="1:12">
      <c r="A28" s="3" t="s">
        <v>174</v>
      </c>
      <c r="B28" s="19">
        <v>9874</v>
      </c>
      <c r="C28" s="8">
        <v>3895</v>
      </c>
      <c r="D28" s="8">
        <v>4</v>
      </c>
      <c r="E28" s="8" t="s">
        <v>14</v>
      </c>
      <c r="F28" s="4" t="s">
        <v>38</v>
      </c>
      <c r="G28" s="4" t="s">
        <v>20</v>
      </c>
      <c r="H28" s="8" t="s">
        <v>175</v>
      </c>
      <c r="I28" s="4" t="s">
        <v>176</v>
      </c>
      <c r="J28" s="4" t="s">
        <v>22</v>
      </c>
      <c r="K28" s="4" t="s">
        <v>117</v>
      </c>
      <c r="L28" s="4" t="s">
        <v>97</v>
      </c>
    </row>
    <row r="29" spans="1:12">
      <c r="A29" s="5" t="s">
        <v>177</v>
      </c>
      <c r="B29" s="20">
        <v>9873</v>
      </c>
      <c r="C29" s="9">
        <v>4585</v>
      </c>
      <c r="D29" s="9">
        <v>7</v>
      </c>
      <c r="E29" s="9" t="s">
        <v>14</v>
      </c>
      <c r="F29" s="6" t="s">
        <v>42</v>
      </c>
      <c r="G29" s="6" t="s">
        <v>12</v>
      </c>
      <c r="H29" s="11">
        <v>44112</v>
      </c>
      <c r="I29" s="6" t="s">
        <v>178</v>
      </c>
      <c r="J29" s="6" t="s">
        <v>22</v>
      </c>
      <c r="K29" s="6" t="s">
        <v>179</v>
      </c>
      <c r="L29" s="6" t="s">
        <v>39</v>
      </c>
    </row>
    <row r="30" spans="1:12">
      <c r="A30" s="3" t="s">
        <v>180</v>
      </c>
      <c r="B30" s="19">
        <v>9869</v>
      </c>
      <c r="C30" s="8">
        <v>4299</v>
      </c>
      <c r="D30" s="8">
        <v>12</v>
      </c>
      <c r="E30" s="8" t="s">
        <v>6</v>
      </c>
      <c r="F30" s="4" t="s">
        <v>24</v>
      </c>
      <c r="G30" s="4" t="s">
        <v>16</v>
      </c>
      <c r="H30" s="8" t="s">
        <v>181</v>
      </c>
      <c r="I30" s="4" t="s">
        <v>182</v>
      </c>
      <c r="J30" s="4" t="s">
        <v>7</v>
      </c>
      <c r="K30" s="4" t="s">
        <v>162</v>
      </c>
      <c r="L30" s="4" t="s">
        <v>74</v>
      </c>
    </row>
    <row r="31" spans="1:12">
      <c r="A31" s="5" t="s">
        <v>180</v>
      </c>
      <c r="B31" s="20">
        <v>9869</v>
      </c>
      <c r="C31" s="9">
        <v>4299</v>
      </c>
      <c r="D31" s="9">
        <v>12</v>
      </c>
      <c r="E31" s="9" t="s">
        <v>6</v>
      </c>
      <c r="F31" s="6" t="s">
        <v>24</v>
      </c>
      <c r="G31" s="6" t="s">
        <v>16</v>
      </c>
      <c r="H31" s="9" t="s">
        <v>183</v>
      </c>
      <c r="I31" s="6" t="s">
        <v>184</v>
      </c>
      <c r="J31" s="6" t="s">
        <v>19</v>
      </c>
      <c r="K31" s="6" t="s">
        <v>126</v>
      </c>
      <c r="L31" s="6" t="s">
        <v>83</v>
      </c>
    </row>
    <row r="32" spans="1:12">
      <c r="A32" s="3" t="s">
        <v>114</v>
      </c>
      <c r="B32" s="19">
        <v>9851</v>
      </c>
      <c r="C32" s="8">
        <v>2669</v>
      </c>
      <c r="D32" s="8">
        <v>19</v>
      </c>
      <c r="E32" s="8" t="s">
        <v>6</v>
      </c>
      <c r="F32" s="4" t="s">
        <v>13</v>
      </c>
      <c r="G32" s="4" t="s">
        <v>16</v>
      </c>
      <c r="H32" s="8" t="s">
        <v>115</v>
      </c>
      <c r="I32" s="4" t="s">
        <v>116</v>
      </c>
      <c r="J32" s="4" t="s">
        <v>22</v>
      </c>
      <c r="K32" s="4" t="s">
        <v>117</v>
      </c>
      <c r="L32" s="4" t="s">
        <v>62</v>
      </c>
    </row>
    <row r="33" spans="1:12">
      <c r="A33" s="5" t="s">
        <v>114</v>
      </c>
      <c r="B33" s="20">
        <v>9851</v>
      </c>
      <c r="C33" s="9">
        <v>2669</v>
      </c>
      <c r="D33" s="9">
        <v>19</v>
      </c>
      <c r="E33" s="9" t="s">
        <v>6</v>
      </c>
      <c r="F33" s="6" t="s">
        <v>13</v>
      </c>
      <c r="G33" s="6" t="s">
        <v>16</v>
      </c>
      <c r="H33" s="9" t="s">
        <v>185</v>
      </c>
      <c r="I33" s="6" t="s">
        <v>186</v>
      </c>
      <c r="J33" s="6" t="s">
        <v>19</v>
      </c>
      <c r="K33" s="6" t="s">
        <v>126</v>
      </c>
      <c r="L33" s="6" t="s">
        <v>78</v>
      </c>
    </row>
    <row r="34" spans="1:12">
      <c r="A34" s="3" t="s">
        <v>114</v>
      </c>
      <c r="B34" s="19">
        <v>9851</v>
      </c>
      <c r="C34" s="8">
        <v>2669</v>
      </c>
      <c r="D34" s="8">
        <v>19</v>
      </c>
      <c r="E34" s="8" t="s">
        <v>6</v>
      </c>
      <c r="F34" s="4" t="s">
        <v>13</v>
      </c>
      <c r="G34" s="4" t="s">
        <v>16</v>
      </c>
      <c r="H34" s="8" t="s">
        <v>118</v>
      </c>
      <c r="I34" s="4" t="s">
        <v>119</v>
      </c>
      <c r="J34" s="4" t="s">
        <v>11</v>
      </c>
      <c r="K34" s="4" t="s">
        <v>120</v>
      </c>
      <c r="L34" s="4" t="s">
        <v>68</v>
      </c>
    </row>
    <row r="35" spans="1:12">
      <c r="A35" s="5" t="s">
        <v>187</v>
      </c>
      <c r="B35" s="20">
        <v>9849</v>
      </c>
      <c r="C35" s="9">
        <v>963</v>
      </c>
      <c r="D35" s="9">
        <v>1</v>
      </c>
      <c r="E35" s="9" t="s">
        <v>14</v>
      </c>
      <c r="F35" s="6" t="s">
        <v>44</v>
      </c>
      <c r="G35" s="6" t="s">
        <v>12</v>
      </c>
      <c r="H35" s="9" t="s">
        <v>188</v>
      </c>
      <c r="I35" s="6" t="s">
        <v>189</v>
      </c>
      <c r="J35" s="6" t="s">
        <v>15</v>
      </c>
      <c r="K35" s="6" t="s">
        <v>171</v>
      </c>
      <c r="L35" s="6" t="s">
        <v>87</v>
      </c>
    </row>
    <row r="36" spans="1:12">
      <c r="A36" s="5" t="s">
        <v>190</v>
      </c>
      <c r="B36" s="20">
        <v>9845</v>
      </c>
      <c r="C36" s="9">
        <v>3062</v>
      </c>
      <c r="D36" s="9">
        <v>9</v>
      </c>
      <c r="E36" s="9" t="s">
        <v>14</v>
      </c>
      <c r="F36" s="6" t="s">
        <v>42</v>
      </c>
      <c r="G36" s="6" t="s">
        <v>8</v>
      </c>
      <c r="H36" s="9" t="s">
        <v>191</v>
      </c>
      <c r="I36" s="6" t="s">
        <v>192</v>
      </c>
      <c r="J36" s="6" t="s">
        <v>11</v>
      </c>
      <c r="K36" s="6" t="s">
        <v>120</v>
      </c>
      <c r="L36" s="6" t="s">
        <v>98</v>
      </c>
    </row>
    <row r="37" spans="1:12">
      <c r="A37" s="5" t="s">
        <v>193</v>
      </c>
      <c r="B37" s="20">
        <v>9840</v>
      </c>
      <c r="C37" s="9">
        <v>3870</v>
      </c>
      <c r="D37" s="9">
        <v>11</v>
      </c>
      <c r="E37" s="9" t="s">
        <v>6</v>
      </c>
      <c r="F37" s="6" t="s">
        <v>24</v>
      </c>
      <c r="G37" s="6" t="s">
        <v>16</v>
      </c>
      <c r="H37" s="9" t="s">
        <v>194</v>
      </c>
      <c r="I37" s="6" t="s">
        <v>195</v>
      </c>
      <c r="J37" s="6" t="s">
        <v>25</v>
      </c>
      <c r="K37" s="6" t="s">
        <v>111</v>
      </c>
      <c r="L37" s="6" t="s">
        <v>75</v>
      </c>
    </row>
    <row r="38" spans="1:12">
      <c r="A38" s="5" t="s">
        <v>196</v>
      </c>
      <c r="B38" s="20">
        <v>9837</v>
      </c>
      <c r="C38" s="9">
        <v>384</v>
      </c>
      <c r="D38" s="9">
        <v>1</v>
      </c>
      <c r="E38" s="9" t="s">
        <v>6</v>
      </c>
      <c r="F38" s="6" t="s">
        <v>17</v>
      </c>
      <c r="G38" s="6" t="s">
        <v>23</v>
      </c>
      <c r="H38" s="9" t="s">
        <v>197</v>
      </c>
      <c r="I38" s="6" t="s">
        <v>198</v>
      </c>
      <c r="J38" s="6" t="s">
        <v>7</v>
      </c>
      <c r="K38" s="6" t="s">
        <v>124</v>
      </c>
      <c r="L38" s="6" t="s">
        <v>41</v>
      </c>
    </row>
    <row r="39" spans="1:12">
      <c r="A39" s="3" t="s">
        <v>199</v>
      </c>
      <c r="B39" s="19">
        <v>9835</v>
      </c>
      <c r="C39" s="8">
        <v>2571</v>
      </c>
      <c r="D39" s="8">
        <v>16</v>
      </c>
      <c r="E39" s="8" t="s">
        <v>10</v>
      </c>
      <c r="F39" s="4" t="s">
        <v>34</v>
      </c>
      <c r="G39" s="4" t="s">
        <v>8</v>
      </c>
      <c r="H39" s="10">
        <v>44840</v>
      </c>
      <c r="I39" s="4" t="s">
        <v>200</v>
      </c>
      <c r="J39" s="4" t="s">
        <v>25</v>
      </c>
      <c r="K39" s="4" t="s">
        <v>129</v>
      </c>
      <c r="L39" s="4" t="s">
        <v>65</v>
      </c>
    </row>
    <row r="40" spans="1:12">
      <c r="A40" s="5" t="s">
        <v>199</v>
      </c>
      <c r="B40" s="20">
        <v>9835</v>
      </c>
      <c r="C40" s="9">
        <v>2571</v>
      </c>
      <c r="D40" s="9">
        <v>16</v>
      </c>
      <c r="E40" s="9" t="s">
        <v>10</v>
      </c>
      <c r="F40" s="6" t="s">
        <v>34</v>
      </c>
      <c r="G40" s="6" t="s">
        <v>8</v>
      </c>
      <c r="H40" s="9" t="s">
        <v>201</v>
      </c>
      <c r="I40" s="6" t="s">
        <v>202</v>
      </c>
      <c r="J40" s="6" t="s">
        <v>11</v>
      </c>
      <c r="K40" s="6" t="s">
        <v>120</v>
      </c>
      <c r="L40" s="6" t="s">
        <v>58</v>
      </c>
    </row>
    <row r="41" spans="1:12">
      <c r="A41" s="3" t="s">
        <v>199</v>
      </c>
      <c r="B41" s="19">
        <v>9835</v>
      </c>
      <c r="C41" s="8">
        <v>2571</v>
      </c>
      <c r="D41" s="8">
        <v>16</v>
      </c>
      <c r="E41" s="8" t="s">
        <v>10</v>
      </c>
      <c r="F41" s="4" t="s">
        <v>34</v>
      </c>
      <c r="G41" s="4" t="s">
        <v>8</v>
      </c>
      <c r="H41" s="8" t="s">
        <v>203</v>
      </c>
      <c r="I41" s="4" t="s">
        <v>204</v>
      </c>
      <c r="J41" s="4" t="s">
        <v>7</v>
      </c>
      <c r="K41" s="4" t="s">
        <v>205</v>
      </c>
      <c r="L41" s="4" t="s">
        <v>67</v>
      </c>
    </row>
    <row r="42" spans="1:12">
      <c r="A42" s="5" t="s">
        <v>206</v>
      </c>
      <c r="B42" s="20">
        <v>9832</v>
      </c>
      <c r="C42" s="9">
        <v>1270</v>
      </c>
      <c r="D42" s="9">
        <v>1</v>
      </c>
      <c r="E42" s="9" t="s">
        <v>14</v>
      </c>
      <c r="F42" s="6" t="s">
        <v>44</v>
      </c>
      <c r="G42" s="6" t="s">
        <v>8</v>
      </c>
      <c r="H42" s="11">
        <v>44752</v>
      </c>
      <c r="I42" s="6" t="s">
        <v>207</v>
      </c>
      <c r="J42" s="6" t="s">
        <v>7</v>
      </c>
      <c r="K42" s="6" t="s">
        <v>124</v>
      </c>
      <c r="L42" s="6" t="s">
        <v>69</v>
      </c>
    </row>
    <row r="43" spans="1:12">
      <c r="A43" s="5" t="s">
        <v>208</v>
      </c>
      <c r="B43" s="20">
        <v>9827</v>
      </c>
      <c r="C43" s="9">
        <v>4208</v>
      </c>
      <c r="D43" s="9">
        <v>13</v>
      </c>
      <c r="E43" s="9" t="s">
        <v>10</v>
      </c>
      <c r="F43" s="6" t="s">
        <v>30</v>
      </c>
      <c r="G43" s="6" t="s">
        <v>16</v>
      </c>
      <c r="H43" s="11">
        <v>44174</v>
      </c>
      <c r="I43" s="6" t="s">
        <v>209</v>
      </c>
      <c r="J43" s="6" t="s">
        <v>19</v>
      </c>
      <c r="K43" s="6" t="s">
        <v>210</v>
      </c>
      <c r="L43" s="6" t="s">
        <v>41</v>
      </c>
    </row>
    <row r="44" spans="1:12">
      <c r="A44" s="3" t="s">
        <v>211</v>
      </c>
      <c r="B44" s="19">
        <v>9820</v>
      </c>
      <c r="C44" s="8">
        <v>793</v>
      </c>
      <c r="D44" s="8">
        <v>16</v>
      </c>
      <c r="E44" s="8" t="s">
        <v>10</v>
      </c>
      <c r="F44" s="4" t="s">
        <v>30</v>
      </c>
      <c r="G44" s="4" t="s">
        <v>12</v>
      </c>
      <c r="H44" s="8" t="s">
        <v>212</v>
      </c>
      <c r="I44" s="4" t="s">
        <v>213</v>
      </c>
      <c r="J44" s="4" t="s">
        <v>19</v>
      </c>
      <c r="K44" s="4" t="s">
        <v>126</v>
      </c>
      <c r="L44" s="4" t="s">
        <v>55</v>
      </c>
    </row>
    <row r="45" spans="1:12">
      <c r="A45" s="3" t="s">
        <v>214</v>
      </c>
      <c r="B45" s="19">
        <v>9808</v>
      </c>
      <c r="C45" s="8">
        <v>2117</v>
      </c>
      <c r="D45" s="8">
        <v>2</v>
      </c>
      <c r="E45" s="8" t="s">
        <v>14</v>
      </c>
      <c r="F45" s="4" t="s">
        <v>44</v>
      </c>
      <c r="G45" s="4" t="s">
        <v>23</v>
      </c>
      <c r="H45" s="8" t="s">
        <v>215</v>
      </c>
      <c r="I45" s="4" t="s">
        <v>216</v>
      </c>
      <c r="J45" s="4" t="s">
        <v>7</v>
      </c>
      <c r="K45" s="4" t="s">
        <v>205</v>
      </c>
      <c r="L45" s="4" t="s">
        <v>87</v>
      </c>
    </row>
    <row r="46" spans="1:12">
      <c r="A46" s="5" t="s">
        <v>217</v>
      </c>
      <c r="B46" s="20">
        <v>9789</v>
      </c>
      <c r="C46" s="9">
        <v>2071</v>
      </c>
      <c r="D46" s="9">
        <v>18</v>
      </c>
      <c r="E46" s="9" t="s">
        <v>10</v>
      </c>
      <c r="F46" s="6" t="s">
        <v>28</v>
      </c>
      <c r="G46" s="6" t="s">
        <v>16</v>
      </c>
      <c r="H46" s="9" t="s">
        <v>183</v>
      </c>
      <c r="I46" s="6" t="s">
        <v>218</v>
      </c>
      <c r="J46" s="6" t="s">
        <v>19</v>
      </c>
      <c r="K46" s="6" t="s">
        <v>108</v>
      </c>
      <c r="L46" s="6" t="s">
        <v>83</v>
      </c>
    </row>
    <row r="47" spans="1:12">
      <c r="A47" s="5" t="s">
        <v>219</v>
      </c>
      <c r="B47" s="20">
        <v>9776</v>
      </c>
      <c r="C47" s="9">
        <v>3750</v>
      </c>
      <c r="D47" s="9">
        <v>9</v>
      </c>
      <c r="E47" s="9" t="s">
        <v>14</v>
      </c>
      <c r="F47" s="6" t="s">
        <v>38</v>
      </c>
      <c r="G47" s="6" t="s">
        <v>23</v>
      </c>
      <c r="H47" s="11">
        <v>45841</v>
      </c>
      <c r="I47" s="6" t="s">
        <v>220</v>
      </c>
      <c r="J47" s="6" t="s">
        <v>15</v>
      </c>
      <c r="K47" s="6" t="s">
        <v>171</v>
      </c>
      <c r="L47" s="6" t="s">
        <v>98</v>
      </c>
    </row>
    <row r="48" spans="1:12">
      <c r="A48" s="5" t="s">
        <v>221</v>
      </c>
      <c r="B48" s="20">
        <v>9775</v>
      </c>
      <c r="C48" s="9">
        <v>4507</v>
      </c>
      <c r="D48" s="9">
        <v>5</v>
      </c>
      <c r="E48" s="9" t="s">
        <v>14</v>
      </c>
      <c r="F48" s="6" t="s">
        <v>40</v>
      </c>
      <c r="G48" s="6" t="s">
        <v>23</v>
      </c>
      <c r="H48" s="11">
        <v>43989</v>
      </c>
      <c r="I48" s="6" t="s">
        <v>222</v>
      </c>
      <c r="J48" s="6" t="s">
        <v>22</v>
      </c>
      <c r="K48" s="6" t="s">
        <v>223</v>
      </c>
      <c r="L48" s="6" t="s">
        <v>37</v>
      </c>
    </row>
    <row r="49" spans="1:12">
      <c r="A49" s="5" t="s">
        <v>224</v>
      </c>
      <c r="B49" s="20">
        <v>9770</v>
      </c>
      <c r="C49" s="9">
        <v>4132</v>
      </c>
      <c r="D49" s="9">
        <v>7</v>
      </c>
      <c r="E49" s="9" t="s">
        <v>6</v>
      </c>
      <c r="F49" s="6" t="s">
        <v>13</v>
      </c>
      <c r="G49" s="6" t="s">
        <v>23</v>
      </c>
      <c r="H49" s="9" t="s">
        <v>225</v>
      </c>
      <c r="I49" s="6" t="s">
        <v>226</v>
      </c>
      <c r="J49" s="6" t="s">
        <v>22</v>
      </c>
      <c r="K49" s="6" t="s">
        <v>179</v>
      </c>
      <c r="L49" s="6" t="s">
        <v>71</v>
      </c>
    </row>
    <row r="50" spans="1:12">
      <c r="A50" s="3" t="s">
        <v>227</v>
      </c>
      <c r="B50" s="19">
        <v>9768</v>
      </c>
      <c r="C50" s="8">
        <v>4518</v>
      </c>
      <c r="D50" s="8">
        <v>8</v>
      </c>
      <c r="E50" s="8" t="s">
        <v>10</v>
      </c>
      <c r="F50" s="4" t="s">
        <v>34</v>
      </c>
      <c r="G50" s="4" t="s">
        <v>12</v>
      </c>
      <c r="H50" s="8" t="s">
        <v>228</v>
      </c>
      <c r="I50" s="4" t="s">
        <v>229</v>
      </c>
      <c r="J50" s="4" t="s">
        <v>25</v>
      </c>
      <c r="K50" s="4" t="s">
        <v>129</v>
      </c>
      <c r="L50" s="4" t="s">
        <v>58</v>
      </c>
    </row>
    <row r="51" spans="1:12">
      <c r="A51" s="3" t="s">
        <v>230</v>
      </c>
      <c r="B51" s="19">
        <v>9752</v>
      </c>
      <c r="C51" s="8">
        <v>3618</v>
      </c>
      <c r="D51" s="8">
        <v>5</v>
      </c>
      <c r="E51" s="8" t="s">
        <v>10</v>
      </c>
      <c r="F51" s="4" t="s">
        <v>28</v>
      </c>
      <c r="G51" s="4" t="s">
        <v>16</v>
      </c>
      <c r="H51" s="8" t="s">
        <v>231</v>
      </c>
      <c r="I51" s="4" t="s">
        <v>232</v>
      </c>
      <c r="J51" s="4" t="s">
        <v>19</v>
      </c>
      <c r="K51" s="4" t="s">
        <v>108</v>
      </c>
      <c r="L51" s="4" t="s">
        <v>85</v>
      </c>
    </row>
    <row r="52" spans="1:12">
      <c r="A52" s="5" t="s">
        <v>230</v>
      </c>
      <c r="B52" s="20">
        <v>9752</v>
      </c>
      <c r="C52" s="9">
        <v>3618</v>
      </c>
      <c r="D52" s="9">
        <v>5</v>
      </c>
      <c r="E52" s="9" t="s">
        <v>10</v>
      </c>
      <c r="F52" s="6" t="s">
        <v>28</v>
      </c>
      <c r="G52" s="6" t="s">
        <v>16</v>
      </c>
      <c r="H52" s="9" t="s">
        <v>233</v>
      </c>
      <c r="I52" s="6" t="s">
        <v>234</v>
      </c>
      <c r="J52" s="6" t="s">
        <v>15</v>
      </c>
      <c r="K52" s="6" t="s">
        <v>235</v>
      </c>
      <c r="L52" s="6" t="s">
        <v>69</v>
      </c>
    </row>
    <row r="53" spans="1:12">
      <c r="A53" s="5" t="s">
        <v>236</v>
      </c>
      <c r="B53" s="20">
        <v>9751</v>
      </c>
      <c r="C53" s="9">
        <v>2459</v>
      </c>
      <c r="D53" s="9">
        <v>13</v>
      </c>
      <c r="E53" s="9" t="s">
        <v>14</v>
      </c>
      <c r="F53" s="6" t="s">
        <v>44</v>
      </c>
      <c r="G53" s="6" t="s">
        <v>8</v>
      </c>
      <c r="H53" s="9" t="s">
        <v>237</v>
      </c>
      <c r="I53" s="6" t="s">
        <v>238</v>
      </c>
      <c r="J53" s="6" t="s">
        <v>19</v>
      </c>
      <c r="K53" s="6" t="s">
        <v>126</v>
      </c>
      <c r="L53" s="6" t="s">
        <v>45</v>
      </c>
    </row>
    <row r="54" spans="1:12">
      <c r="A54" s="3" t="s">
        <v>239</v>
      </c>
      <c r="B54" s="19">
        <v>9730</v>
      </c>
      <c r="C54" s="8">
        <v>2341</v>
      </c>
      <c r="D54" s="8">
        <v>2</v>
      </c>
      <c r="E54" s="8" t="s">
        <v>10</v>
      </c>
      <c r="F54" s="4" t="s">
        <v>30</v>
      </c>
      <c r="G54" s="4" t="s">
        <v>20</v>
      </c>
      <c r="H54" s="10">
        <v>45329</v>
      </c>
      <c r="I54" s="4" t="s">
        <v>240</v>
      </c>
      <c r="J54" s="4" t="s">
        <v>11</v>
      </c>
      <c r="K54" s="4" t="s">
        <v>136</v>
      </c>
      <c r="L54" s="4" t="s">
        <v>90</v>
      </c>
    </row>
    <row r="55" spans="1:12">
      <c r="A55" s="3" t="s">
        <v>241</v>
      </c>
      <c r="B55" s="19">
        <v>9726</v>
      </c>
      <c r="C55" s="8">
        <v>1275</v>
      </c>
      <c r="D55" s="8">
        <v>5</v>
      </c>
      <c r="E55" s="8" t="s">
        <v>6</v>
      </c>
      <c r="F55" s="4" t="s">
        <v>13</v>
      </c>
      <c r="G55" s="4" t="s">
        <v>23</v>
      </c>
      <c r="H55" s="8" t="s">
        <v>242</v>
      </c>
      <c r="I55" s="4" t="s">
        <v>243</v>
      </c>
      <c r="J55" s="4" t="s">
        <v>11</v>
      </c>
      <c r="K55" s="4" t="s">
        <v>156</v>
      </c>
      <c r="L55" s="4" t="s">
        <v>77</v>
      </c>
    </row>
    <row r="56" spans="1:12">
      <c r="A56" s="5" t="s">
        <v>241</v>
      </c>
      <c r="B56" s="20">
        <v>9726</v>
      </c>
      <c r="C56" s="9">
        <v>1275</v>
      </c>
      <c r="D56" s="9">
        <v>5</v>
      </c>
      <c r="E56" s="9" t="s">
        <v>6</v>
      </c>
      <c r="F56" s="6" t="s">
        <v>13</v>
      </c>
      <c r="G56" s="6" t="s">
        <v>23</v>
      </c>
      <c r="H56" s="9" t="s">
        <v>244</v>
      </c>
      <c r="I56" s="6" t="s">
        <v>245</v>
      </c>
      <c r="J56" s="6" t="s">
        <v>15</v>
      </c>
      <c r="K56" s="6" t="s">
        <v>132</v>
      </c>
      <c r="L56" s="6" t="s">
        <v>95</v>
      </c>
    </row>
    <row r="57" spans="1:12">
      <c r="A57" s="3" t="s">
        <v>241</v>
      </c>
      <c r="B57" s="19">
        <v>9726</v>
      </c>
      <c r="C57" s="8">
        <v>1275</v>
      </c>
      <c r="D57" s="8">
        <v>5</v>
      </c>
      <c r="E57" s="8" t="s">
        <v>6</v>
      </c>
      <c r="F57" s="4" t="s">
        <v>13</v>
      </c>
      <c r="G57" s="4" t="s">
        <v>23</v>
      </c>
      <c r="H57" s="8" t="s">
        <v>246</v>
      </c>
      <c r="I57" s="4" t="s">
        <v>247</v>
      </c>
      <c r="J57" s="4" t="s">
        <v>19</v>
      </c>
      <c r="K57" s="4" t="s">
        <v>126</v>
      </c>
      <c r="L57" s="4" t="s">
        <v>54</v>
      </c>
    </row>
    <row r="58" spans="1:12">
      <c r="A58" s="5" t="s">
        <v>248</v>
      </c>
      <c r="B58" s="20">
        <v>9707</v>
      </c>
      <c r="C58" s="9">
        <v>3483</v>
      </c>
      <c r="D58" s="9">
        <v>10</v>
      </c>
      <c r="E58" s="9" t="s">
        <v>6</v>
      </c>
      <c r="F58" s="6" t="s">
        <v>13</v>
      </c>
      <c r="G58" s="6" t="s">
        <v>20</v>
      </c>
      <c r="H58" s="9" t="s">
        <v>249</v>
      </c>
      <c r="I58" s="6" t="s">
        <v>250</v>
      </c>
      <c r="J58" s="6" t="s">
        <v>15</v>
      </c>
      <c r="K58" s="6" t="s">
        <v>235</v>
      </c>
      <c r="L58" s="6" t="s">
        <v>96</v>
      </c>
    </row>
    <row r="59" spans="1:12">
      <c r="A59" s="5" t="s">
        <v>251</v>
      </c>
      <c r="B59" s="20">
        <v>9704</v>
      </c>
      <c r="C59" s="9">
        <v>4339</v>
      </c>
      <c r="D59" s="9">
        <v>12</v>
      </c>
      <c r="E59" s="9" t="s">
        <v>14</v>
      </c>
      <c r="F59" s="6" t="s">
        <v>44</v>
      </c>
      <c r="G59" s="6" t="s">
        <v>8</v>
      </c>
      <c r="H59" s="11">
        <v>44350</v>
      </c>
      <c r="I59" s="6" t="s">
        <v>252</v>
      </c>
      <c r="J59" s="6" t="s">
        <v>25</v>
      </c>
      <c r="K59" s="6" t="s">
        <v>253</v>
      </c>
      <c r="L59" s="6" t="s">
        <v>50</v>
      </c>
    </row>
    <row r="60" spans="1:12">
      <c r="A60" s="5" t="s">
        <v>254</v>
      </c>
      <c r="B60" s="20">
        <v>9694</v>
      </c>
      <c r="C60" s="9">
        <v>4361</v>
      </c>
      <c r="D60" s="9">
        <v>1</v>
      </c>
      <c r="E60" s="9" t="s">
        <v>10</v>
      </c>
      <c r="F60" s="6" t="s">
        <v>30</v>
      </c>
      <c r="G60" s="6" t="s">
        <v>20</v>
      </c>
      <c r="H60" s="11">
        <v>45027</v>
      </c>
      <c r="I60" s="6" t="s">
        <v>255</v>
      </c>
      <c r="J60" s="6" t="s">
        <v>15</v>
      </c>
      <c r="K60" s="6" t="s">
        <v>171</v>
      </c>
      <c r="L60" s="6" t="s">
        <v>82</v>
      </c>
    </row>
    <row r="61" spans="1:12">
      <c r="A61" s="5" t="s">
        <v>199</v>
      </c>
      <c r="B61" s="20">
        <v>9691</v>
      </c>
      <c r="C61" s="9">
        <v>3056</v>
      </c>
      <c r="D61" s="9">
        <v>13</v>
      </c>
      <c r="E61" s="9" t="s">
        <v>14</v>
      </c>
      <c r="F61" s="6" t="s">
        <v>40</v>
      </c>
      <c r="G61" s="6" t="s">
        <v>12</v>
      </c>
      <c r="H61" s="11">
        <v>44840</v>
      </c>
      <c r="I61" s="6" t="s">
        <v>200</v>
      </c>
      <c r="J61" s="6" t="s">
        <v>25</v>
      </c>
      <c r="K61" s="6" t="s">
        <v>129</v>
      </c>
      <c r="L61" s="6" t="s">
        <v>65</v>
      </c>
    </row>
    <row r="62" spans="1:12">
      <c r="A62" s="3" t="s">
        <v>199</v>
      </c>
      <c r="B62" s="19">
        <v>9691</v>
      </c>
      <c r="C62" s="8">
        <v>3056</v>
      </c>
      <c r="D62" s="8">
        <v>13</v>
      </c>
      <c r="E62" s="8" t="s">
        <v>14</v>
      </c>
      <c r="F62" s="4" t="s">
        <v>40</v>
      </c>
      <c r="G62" s="4" t="s">
        <v>12</v>
      </c>
      <c r="H62" s="8" t="s">
        <v>201</v>
      </c>
      <c r="I62" s="4" t="s">
        <v>202</v>
      </c>
      <c r="J62" s="4" t="s">
        <v>11</v>
      </c>
      <c r="K62" s="4" t="s">
        <v>120</v>
      </c>
      <c r="L62" s="4" t="s">
        <v>58</v>
      </c>
    </row>
    <row r="63" spans="1:12">
      <c r="A63" s="5" t="s">
        <v>199</v>
      </c>
      <c r="B63" s="20">
        <v>9691</v>
      </c>
      <c r="C63" s="9">
        <v>3056</v>
      </c>
      <c r="D63" s="9">
        <v>13</v>
      </c>
      <c r="E63" s="9" t="s">
        <v>14</v>
      </c>
      <c r="F63" s="6" t="s">
        <v>40</v>
      </c>
      <c r="G63" s="6" t="s">
        <v>12</v>
      </c>
      <c r="H63" s="9" t="s">
        <v>203</v>
      </c>
      <c r="I63" s="6" t="s">
        <v>204</v>
      </c>
      <c r="J63" s="6" t="s">
        <v>7</v>
      </c>
      <c r="K63" s="6" t="s">
        <v>205</v>
      </c>
      <c r="L63" s="6" t="s">
        <v>67</v>
      </c>
    </row>
    <row r="64" spans="1:12">
      <c r="A64" s="3" t="s">
        <v>256</v>
      </c>
      <c r="B64" s="19">
        <v>9683</v>
      </c>
      <c r="C64" s="8">
        <v>1014</v>
      </c>
      <c r="D64" s="8">
        <v>5</v>
      </c>
      <c r="E64" s="8" t="s">
        <v>6</v>
      </c>
      <c r="F64" s="4" t="s">
        <v>24</v>
      </c>
      <c r="G64" s="4" t="s">
        <v>23</v>
      </c>
      <c r="H64" s="8" t="s">
        <v>244</v>
      </c>
      <c r="I64" s="4" t="s">
        <v>257</v>
      </c>
      <c r="J64" s="4" t="s">
        <v>7</v>
      </c>
      <c r="K64" s="4" t="s">
        <v>162</v>
      </c>
      <c r="L64" s="4" t="s">
        <v>95</v>
      </c>
    </row>
    <row r="65" spans="1:12">
      <c r="A65" s="5" t="s">
        <v>256</v>
      </c>
      <c r="B65" s="20">
        <v>9683</v>
      </c>
      <c r="C65" s="9">
        <v>1014</v>
      </c>
      <c r="D65" s="9">
        <v>5</v>
      </c>
      <c r="E65" s="9" t="s">
        <v>6</v>
      </c>
      <c r="F65" s="6" t="s">
        <v>24</v>
      </c>
      <c r="G65" s="6" t="s">
        <v>23</v>
      </c>
      <c r="H65" s="9" t="s">
        <v>258</v>
      </c>
      <c r="I65" s="6" t="s">
        <v>259</v>
      </c>
      <c r="J65" s="6" t="s">
        <v>22</v>
      </c>
      <c r="K65" s="6" t="s">
        <v>223</v>
      </c>
      <c r="L65" s="6" t="s">
        <v>53</v>
      </c>
    </row>
    <row r="66" spans="1:12">
      <c r="A66" s="3" t="s">
        <v>256</v>
      </c>
      <c r="B66" s="19">
        <v>9683</v>
      </c>
      <c r="C66" s="8">
        <v>1014</v>
      </c>
      <c r="D66" s="8">
        <v>5</v>
      </c>
      <c r="E66" s="8" t="s">
        <v>6</v>
      </c>
      <c r="F66" s="4" t="s">
        <v>24</v>
      </c>
      <c r="G66" s="4" t="s">
        <v>23</v>
      </c>
      <c r="H66" s="8" t="s">
        <v>260</v>
      </c>
      <c r="I66" s="4" t="s">
        <v>261</v>
      </c>
      <c r="J66" s="4" t="s">
        <v>25</v>
      </c>
      <c r="K66" s="4" t="s">
        <v>111</v>
      </c>
      <c r="L66" s="4" t="s">
        <v>76</v>
      </c>
    </row>
    <row r="67" spans="1:12">
      <c r="A67" s="5" t="s">
        <v>256</v>
      </c>
      <c r="B67" s="20">
        <v>9683</v>
      </c>
      <c r="C67" s="9">
        <v>1014</v>
      </c>
      <c r="D67" s="9">
        <v>5</v>
      </c>
      <c r="E67" s="9" t="s">
        <v>6</v>
      </c>
      <c r="F67" s="6" t="s">
        <v>24</v>
      </c>
      <c r="G67" s="6" t="s">
        <v>23</v>
      </c>
      <c r="H67" s="11">
        <v>44540</v>
      </c>
      <c r="I67" s="6" t="s">
        <v>262</v>
      </c>
      <c r="J67" s="6" t="s">
        <v>25</v>
      </c>
      <c r="K67" s="6" t="s">
        <v>129</v>
      </c>
      <c r="L67" s="6" t="s">
        <v>57</v>
      </c>
    </row>
    <row r="68" spans="1:12">
      <c r="A68" s="3" t="s">
        <v>263</v>
      </c>
      <c r="B68" s="19">
        <v>9680</v>
      </c>
      <c r="C68" s="8">
        <v>3295</v>
      </c>
      <c r="D68" s="8">
        <v>9</v>
      </c>
      <c r="E68" s="8" t="s">
        <v>10</v>
      </c>
      <c r="F68" s="4" t="s">
        <v>34</v>
      </c>
      <c r="G68" s="4" t="s">
        <v>8</v>
      </c>
      <c r="H68" s="8" t="s">
        <v>264</v>
      </c>
      <c r="I68" s="4" t="s">
        <v>265</v>
      </c>
      <c r="J68" s="4" t="s">
        <v>19</v>
      </c>
      <c r="K68" s="4" t="s">
        <v>108</v>
      </c>
      <c r="L68" s="4" t="s">
        <v>87</v>
      </c>
    </row>
    <row r="69" spans="1:12">
      <c r="A69" s="5" t="s">
        <v>266</v>
      </c>
      <c r="B69" s="20">
        <v>9659</v>
      </c>
      <c r="C69" s="9">
        <v>2226</v>
      </c>
      <c r="D69" s="9">
        <v>16</v>
      </c>
      <c r="E69" s="9" t="s">
        <v>14</v>
      </c>
      <c r="F69" s="6" t="s">
        <v>38</v>
      </c>
      <c r="G69" s="6" t="s">
        <v>16</v>
      </c>
      <c r="H69" s="11">
        <v>45022</v>
      </c>
      <c r="I69" s="6" t="s">
        <v>267</v>
      </c>
      <c r="J69" s="6" t="s">
        <v>7</v>
      </c>
      <c r="K69" s="6" t="s">
        <v>124</v>
      </c>
      <c r="L69" s="6" t="s">
        <v>77</v>
      </c>
    </row>
    <row r="70" spans="1:12">
      <c r="A70" s="5" t="s">
        <v>268</v>
      </c>
      <c r="B70" s="20">
        <v>9654</v>
      </c>
      <c r="C70" s="9">
        <v>4111</v>
      </c>
      <c r="D70" s="9">
        <v>1</v>
      </c>
      <c r="E70" s="9" t="s">
        <v>14</v>
      </c>
      <c r="F70" s="6" t="s">
        <v>42</v>
      </c>
      <c r="G70" s="6" t="s">
        <v>23</v>
      </c>
      <c r="H70" s="9" t="s">
        <v>269</v>
      </c>
      <c r="I70" s="6" t="s">
        <v>270</v>
      </c>
      <c r="J70" s="6" t="s">
        <v>7</v>
      </c>
      <c r="K70" s="6" t="s">
        <v>124</v>
      </c>
      <c r="L70" s="6" t="s">
        <v>65</v>
      </c>
    </row>
    <row r="71" spans="1:12">
      <c r="A71" s="3" t="s">
        <v>271</v>
      </c>
      <c r="B71" s="19">
        <v>9653</v>
      </c>
      <c r="C71" s="8">
        <v>2471</v>
      </c>
      <c r="D71" s="8">
        <v>6</v>
      </c>
      <c r="E71" s="8" t="s">
        <v>14</v>
      </c>
      <c r="F71" s="4" t="s">
        <v>42</v>
      </c>
      <c r="G71" s="4" t="s">
        <v>23</v>
      </c>
      <c r="H71" s="10">
        <v>45511</v>
      </c>
      <c r="I71" s="4" t="s">
        <v>272</v>
      </c>
      <c r="J71" s="4" t="s">
        <v>19</v>
      </c>
      <c r="K71" s="4" t="s">
        <v>126</v>
      </c>
      <c r="L71" s="4" t="s">
        <v>90</v>
      </c>
    </row>
    <row r="72" spans="1:12">
      <c r="A72" s="3" t="s">
        <v>273</v>
      </c>
      <c r="B72" s="19">
        <v>9640</v>
      </c>
      <c r="C72" s="8">
        <v>2606</v>
      </c>
      <c r="D72" s="8">
        <v>2</v>
      </c>
      <c r="E72" s="8" t="s">
        <v>10</v>
      </c>
      <c r="F72" s="4" t="s">
        <v>28</v>
      </c>
      <c r="G72" s="4" t="s">
        <v>12</v>
      </c>
      <c r="H72" s="8" t="s">
        <v>274</v>
      </c>
      <c r="I72" s="4" t="s">
        <v>275</v>
      </c>
      <c r="J72" s="4" t="s">
        <v>15</v>
      </c>
      <c r="K72" s="4" t="s">
        <v>235</v>
      </c>
      <c r="L72" s="4" t="s">
        <v>57</v>
      </c>
    </row>
    <row r="73" spans="1:12">
      <c r="A73" s="5" t="s">
        <v>106</v>
      </c>
      <c r="B73" s="20">
        <v>9619</v>
      </c>
      <c r="C73" s="9">
        <v>3420</v>
      </c>
      <c r="D73" s="9">
        <v>7</v>
      </c>
      <c r="E73" s="9" t="s">
        <v>14</v>
      </c>
      <c r="F73" s="6" t="s">
        <v>38</v>
      </c>
      <c r="G73" s="6" t="s">
        <v>23</v>
      </c>
      <c r="H73" s="11">
        <v>44449</v>
      </c>
      <c r="I73" s="6" t="s">
        <v>107</v>
      </c>
      <c r="J73" s="6" t="s">
        <v>19</v>
      </c>
      <c r="K73" s="6" t="s">
        <v>108</v>
      </c>
      <c r="L73" s="6" t="s">
        <v>57</v>
      </c>
    </row>
    <row r="74" spans="1:12">
      <c r="A74" s="3" t="s">
        <v>106</v>
      </c>
      <c r="B74" s="19">
        <v>9619</v>
      </c>
      <c r="C74" s="8">
        <v>3420</v>
      </c>
      <c r="D74" s="8">
        <v>7</v>
      </c>
      <c r="E74" s="8" t="s">
        <v>14</v>
      </c>
      <c r="F74" s="4" t="s">
        <v>38</v>
      </c>
      <c r="G74" s="4" t="s">
        <v>23</v>
      </c>
      <c r="H74" s="8" t="s">
        <v>109</v>
      </c>
      <c r="I74" s="4" t="s">
        <v>110</v>
      </c>
      <c r="J74" s="4" t="s">
        <v>25</v>
      </c>
      <c r="K74" s="4" t="s">
        <v>111</v>
      </c>
      <c r="L74" s="4" t="s">
        <v>63</v>
      </c>
    </row>
    <row r="75" spans="1:12">
      <c r="A75" s="5" t="s">
        <v>106</v>
      </c>
      <c r="B75" s="20">
        <v>9619</v>
      </c>
      <c r="C75" s="9">
        <v>3420</v>
      </c>
      <c r="D75" s="9">
        <v>7</v>
      </c>
      <c r="E75" s="9" t="s">
        <v>14</v>
      </c>
      <c r="F75" s="6" t="s">
        <v>38</v>
      </c>
      <c r="G75" s="6" t="s">
        <v>23</v>
      </c>
      <c r="H75" s="9" t="s">
        <v>112</v>
      </c>
      <c r="I75" s="6" t="s">
        <v>113</v>
      </c>
      <c r="J75" s="6" t="s">
        <v>19</v>
      </c>
      <c r="K75" s="6" t="s">
        <v>108</v>
      </c>
      <c r="L75" s="6" t="s">
        <v>67</v>
      </c>
    </row>
    <row r="76" spans="1:12">
      <c r="A76" s="5" t="s">
        <v>276</v>
      </c>
      <c r="B76" s="20">
        <v>9612</v>
      </c>
      <c r="C76" s="9">
        <v>2572</v>
      </c>
      <c r="D76" s="9">
        <v>17</v>
      </c>
      <c r="E76" s="9" t="s">
        <v>14</v>
      </c>
      <c r="F76" s="6" t="s">
        <v>44</v>
      </c>
      <c r="G76" s="6" t="s">
        <v>12</v>
      </c>
      <c r="H76" s="9" t="s">
        <v>277</v>
      </c>
      <c r="I76" s="6" t="s">
        <v>278</v>
      </c>
      <c r="J76" s="6" t="s">
        <v>25</v>
      </c>
      <c r="K76" s="6" t="s">
        <v>129</v>
      </c>
      <c r="L76" s="6" t="s">
        <v>54</v>
      </c>
    </row>
    <row r="77" spans="1:12">
      <c r="A77" s="3" t="s">
        <v>279</v>
      </c>
      <c r="B77" s="19">
        <v>9609</v>
      </c>
      <c r="C77" s="8">
        <v>4339</v>
      </c>
      <c r="D77" s="8">
        <v>3</v>
      </c>
      <c r="E77" s="8" t="s">
        <v>10</v>
      </c>
      <c r="F77" s="4" t="s">
        <v>32</v>
      </c>
      <c r="G77" s="4" t="s">
        <v>16</v>
      </c>
      <c r="H77" s="8" t="s">
        <v>280</v>
      </c>
      <c r="I77" s="4" t="s">
        <v>281</v>
      </c>
      <c r="J77" s="4" t="s">
        <v>25</v>
      </c>
      <c r="K77" s="4" t="s">
        <v>253</v>
      </c>
      <c r="L77" s="4" t="s">
        <v>92</v>
      </c>
    </row>
    <row r="78" spans="1:12">
      <c r="A78" s="5" t="s">
        <v>279</v>
      </c>
      <c r="B78" s="20">
        <v>9609</v>
      </c>
      <c r="C78" s="9">
        <v>4339</v>
      </c>
      <c r="D78" s="9">
        <v>3</v>
      </c>
      <c r="E78" s="9" t="s">
        <v>10</v>
      </c>
      <c r="F78" s="6" t="s">
        <v>32</v>
      </c>
      <c r="G78" s="6" t="s">
        <v>16</v>
      </c>
      <c r="H78" s="11">
        <v>43955</v>
      </c>
      <c r="I78" s="6" t="s">
        <v>282</v>
      </c>
      <c r="J78" s="6" t="s">
        <v>22</v>
      </c>
      <c r="K78" s="6" t="s">
        <v>223</v>
      </c>
      <c r="L78" s="6" t="s">
        <v>31</v>
      </c>
    </row>
    <row r="79" spans="1:12">
      <c r="A79" s="5" t="s">
        <v>283</v>
      </c>
      <c r="B79" s="20">
        <v>9574</v>
      </c>
      <c r="C79" s="9">
        <v>4045</v>
      </c>
      <c r="D79" s="9">
        <v>19</v>
      </c>
      <c r="E79" s="9" t="s">
        <v>10</v>
      </c>
      <c r="F79" s="6" t="s">
        <v>28</v>
      </c>
      <c r="G79" s="6" t="s">
        <v>23</v>
      </c>
      <c r="H79" s="9" t="s">
        <v>284</v>
      </c>
      <c r="I79" s="6" t="s">
        <v>285</v>
      </c>
      <c r="J79" s="6" t="s">
        <v>7</v>
      </c>
      <c r="K79" s="6" t="s">
        <v>124</v>
      </c>
      <c r="L79" s="6" t="s">
        <v>86</v>
      </c>
    </row>
    <row r="80" spans="1:12">
      <c r="A80" s="5" t="s">
        <v>286</v>
      </c>
      <c r="B80" s="20">
        <v>9565</v>
      </c>
      <c r="C80" s="9">
        <v>1691</v>
      </c>
      <c r="D80" s="9">
        <v>3</v>
      </c>
      <c r="E80" s="9" t="s">
        <v>14</v>
      </c>
      <c r="F80" s="6" t="s">
        <v>42</v>
      </c>
      <c r="G80" s="6" t="s">
        <v>16</v>
      </c>
      <c r="H80" s="11">
        <v>45329</v>
      </c>
      <c r="I80" s="6" t="s">
        <v>287</v>
      </c>
      <c r="J80" s="6" t="s">
        <v>15</v>
      </c>
      <c r="K80" s="6" t="s">
        <v>171</v>
      </c>
      <c r="L80" s="6" t="s">
        <v>90</v>
      </c>
    </row>
    <row r="81" spans="1:12">
      <c r="A81" s="3" t="s">
        <v>288</v>
      </c>
      <c r="B81" s="19">
        <v>9562</v>
      </c>
      <c r="C81" s="8">
        <v>325</v>
      </c>
      <c r="D81" s="8">
        <v>2</v>
      </c>
      <c r="E81" s="8" t="s">
        <v>6</v>
      </c>
      <c r="F81" s="4" t="s">
        <v>24</v>
      </c>
      <c r="G81" s="4" t="s">
        <v>16</v>
      </c>
      <c r="H81" s="8" t="s">
        <v>289</v>
      </c>
      <c r="I81" s="4" t="s">
        <v>290</v>
      </c>
      <c r="J81" s="4" t="s">
        <v>7</v>
      </c>
      <c r="K81" s="4" t="s">
        <v>162</v>
      </c>
      <c r="L81" s="4" t="s">
        <v>64</v>
      </c>
    </row>
    <row r="82" spans="1:12">
      <c r="A82" s="3" t="s">
        <v>291</v>
      </c>
      <c r="B82" s="19">
        <v>9548</v>
      </c>
      <c r="C82" s="8">
        <v>1806</v>
      </c>
      <c r="D82" s="8">
        <v>9</v>
      </c>
      <c r="E82" s="8" t="s">
        <v>6</v>
      </c>
      <c r="F82" s="4" t="s">
        <v>24</v>
      </c>
      <c r="G82" s="4" t="s">
        <v>8</v>
      </c>
      <c r="H82" s="8" t="s">
        <v>292</v>
      </c>
      <c r="I82" s="4" t="s">
        <v>293</v>
      </c>
      <c r="J82" s="4" t="s">
        <v>15</v>
      </c>
      <c r="K82" s="4" t="s">
        <v>171</v>
      </c>
      <c r="L82" s="4" t="s">
        <v>69</v>
      </c>
    </row>
    <row r="83" spans="1:12">
      <c r="A83" s="3" t="s">
        <v>294</v>
      </c>
      <c r="B83" s="19">
        <v>9538</v>
      </c>
      <c r="C83" s="8">
        <v>3158</v>
      </c>
      <c r="D83" s="8">
        <v>20</v>
      </c>
      <c r="E83" s="8" t="s">
        <v>6</v>
      </c>
      <c r="F83" s="4" t="s">
        <v>24</v>
      </c>
      <c r="G83" s="4" t="s">
        <v>12</v>
      </c>
      <c r="H83" s="10">
        <v>45391</v>
      </c>
      <c r="I83" s="4" t="s">
        <v>295</v>
      </c>
      <c r="J83" s="4" t="s">
        <v>7</v>
      </c>
      <c r="K83" s="4" t="s">
        <v>124</v>
      </c>
      <c r="L83" s="4" t="s">
        <v>92</v>
      </c>
    </row>
    <row r="84" spans="1:12">
      <c r="A84" s="5" t="s">
        <v>294</v>
      </c>
      <c r="B84" s="20">
        <v>9538</v>
      </c>
      <c r="C84" s="9">
        <v>3158</v>
      </c>
      <c r="D84" s="9">
        <v>20</v>
      </c>
      <c r="E84" s="9" t="s">
        <v>6</v>
      </c>
      <c r="F84" s="6" t="s">
        <v>24</v>
      </c>
      <c r="G84" s="6" t="s">
        <v>12</v>
      </c>
      <c r="H84" s="9" t="s">
        <v>296</v>
      </c>
      <c r="I84" s="6" t="s">
        <v>297</v>
      </c>
      <c r="J84" s="6" t="s">
        <v>22</v>
      </c>
      <c r="K84" s="6" t="s">
        <v>117</v>
      </c>
      <c r="L84" s="6" t="s">
        <v>52</v>
      </c>
    </row>
    <row r="85" spans="1:12">
      <c r="A85" s="5" t="s">
        <v>298</v>
      </c>
      <c r="B85" s="20">
        <v>9536</v>
      </c>
      <c r="C85" s="9">
        <v>1437</v>
      </c>
      <c r="D85" s="9">
        <v>9</v>
      </c>
      <c r="E85" s="9" t="s">
        <v>6</v>
      </c>
      <c r="F85" s="6" t="s">
        <v>21</v>
      </c>
      <c r="G85" s="6" t="s">
        <v>23</v>
      </c>
      <c r="H85" s="11">
        <v>43865</v>
      </c>
      <c r="I85" s="6" t="s">
        <v>299</v>
      </c>
      <c r="J85" s="6" t="s">
        <v>11</v>
      </c>
      <c r="K85" s="6" t="s">
        <v>120</v>
      </c>
      <c r="L85" s="6" t="s">
        <v>31</v>
      </c>
    </row>
    <row r="86" spans="1:12">
      <c r="A86" s="5" t="s">
        <v>300</v>
      </c>
      <c r="B86" s="20">
        <v>9498</v>
      </c>
      <c r="C86" s="9">
        <v>256</v>
      </c>
      <c r="D86" s="9">
        <v>12</v>
      </c>
      <c r="E86" s="9" t="s">
        <v>6</v>
      </c>
      <c r="F86" s="6" t="s">
        <v>21</v>
      </c>
      <c r="G86" s="6" t="s">
        <v>8</v>
      </c>
      <c r="H86" s="9" t="s">
        <v>301</v>
      </c>
      <c r="I86" s="6" t="s">
        <v>302</v>
      </c>
      <c r="J86" s="6" t="s">
        <v>15</v>
      </c>
      <c r="K86" s="6" t="s">
        <v>235</v>
      </c>
      <c r="L86" s="6" t="s">
        <v>49</v>
      </c>
    </row>
    <row r="87" spans="1:12">
      <c r="A87" s="3" t="s">
        <v>300</v>
      </c>
      <c r="B87" s="19">
        <v>9498</v>
      </c>
      <c r="C87" s="8">
        <v>256</v>
      </c>
      <c r="D87" s="8">
        <v>12</v>
      </c>
      <c r="E87" s="8" t="s">
        <v>6</v>
      </c>
      <c r="F87" s="4" t="s">
        <v>21</v>
      </c>
      <c r="G87" s="4" t="s">
        <v>8</v>
      </c>
      <c r="H87" s="10">
        <v>44357</v>
      </c>
      <c r="I87" s="4" t="s">
        <v>303</v>
      </c>
      <c r="J87" s="4" t="s">
        <v>19</v>
      </c>
      <c r="K87" s="4" t="s">
        <v>210</v>
      </c>
      <c r="L87" s="4" t="s">
        <v>57</v>
      </c>
    </row>
    <row r="88" spans="1:12">
      <c r="A88" s="3" t="s">
        <v>304</v>
      </c>
      <c r="B88" s="19">
        <v>9438</v>
      </c>
      <c r="C88" s="8">
        <v>1801</v>
      </c>
      <c r="D88" s="8">
        <v>4</v>
      </c>
      <c r="E88" s="8" t="s">
        <v>6</v>
      </c>
      <c r="F88" s="4" t="s">
        <v>13</v>
      </c>
      <c r="G88" s="4" t="s">
        <v>8</v>
      </c>
      <c r="H88" s="8" t="s">
        <v>305</v>
      </c>
      <c r="I88" s="4" t="s">
        <v>306</v>
      </c>
      <c r="J88" s="4" t="s">
        <v>11</v>
      </c>
      <c r="K88" s="4" t="s">
        <v>120</v>
      </c>
      <c r="L88" s="4" t="s">
        <v>75</v>
      </c>
    </row>
    <row r="89" spans="1:12">
      <c r="A89" s="5" t="s">
        <v>304</v>
      </c>
      <c r="B89" s="20">
        <v>9438</v>
      </c>
      <c r="C89" s="9">
        <v>1801</v>
      </c>
      <c r="D89" s="9">
        <v>4</v>
      </c>
      <c r="E89" s="9" t="s">
        <v>6</v>
      </c>
      <c r="F89" s="6" t="s">
        <v>13</v>
      </c>
      <c r="G89" s="6" t="s">
        <v>8</v>
      </c>
      <c r="H89" s="9" t="s">
        <v>307</v>
      </c>
      <c r="I89" s="6" t="s">
        <v>308</v>
      </c>
      <c r="J89" s="6" t="s">
        <v>25</v>
      </c>
      <c r="K89" s="6" t="s">
        <v>111</v>
      </c>
      <c r="L89" s="6" t="s">
        <v>81</v>
      </c>
    </row>
    <row r="90" spans="1:12">
      <c r="A90" s="5" t="s">
        <v>309</v>
      </c>
      <c r="B90" s="20">
        <v>9406</v>
      </c>
      <c r="C90" s="9">
        <v>1137</v>
      </c>
      <c r="D90" s="9">
        <v>16</v>
      </c>
      <c r="E90" s="9" t="s">
        <v>14</v>
      </c>
      <c r="F90" s="6" t="s">
        <v>40</v>
      </c>
      <c r="G90" s="6" t="s">
        <v>23</v>
      </c>
      <c r="H90" s="9" t="s">
        <v>310</v>
      </c>
      <c r="I90" s="6" t="s">
        <v>311</v>
      </c>
      <c r="J90" s="6" t="s">
        <v>25</v>
      </c>
      <c r="K90" s="6" t="s">
        <v>253</v>
      </c>
      <c r="L90" s="6" t="s">
        <v>57</v>
      </c>
    </row>
    <row r="91" spans="1:12">
      <c r="A91" s="3" t="s">
        <v>312</v>
      </c>
      <c r="B91" s="19">
        <v>9399</v>
      </c>
      <c r="C91" s="8">
        <v>1949</v>
      </c>
      <c r="D91" s="8">
        <v>12</v>
      </c>
      <c r="E91" s="8" t="s">
        <v>6</v>
      </c>
      <c r="F91" s="4" t="s">
        <v>24</v>
      </c>
      <c r="G91" s="4" t="s">
        <v>23</v>
      </c>
      <c r="H91" s="8" t="s">
        <v>313</v>
      </c>
      <c r="I91" s="4" t="s">
        <v>314</v>
      </c>
      <c r="J91" s="4" t="s">
        <v>19</v>
      </c>
      <c r="K91" s="4" t="s">
        <v>108</v>
      </c>
      <c r="L91" s="4" t="s">
        <v>64</v>
      </c>
    </row>
    <row r="92" spans="1:12">
      <c r="A92" s="3" t="s">
        <v>315</v>
      </c>
      <c r="B92" s="19">
        <v>9386</v>
      </c>
      <c r="C92" s="8">
        <v>2555</v>
      </c>
      <c r="D92" s="8">
        <v>20</v>
      </c>
      <c r="E92" s="8" t="s">
        <v>14</v>
      </c>
      <c r="F92" s="4" t="s">
        <v>40</v>
      </c>
      <c r="G92" s="4" t="s">
        <v>12</v>
      </c>
      <c r="H92" s="8" t="s">
        <v>316</v>
      </c>
      <c r="I92" s="4" t="s">
        <v>317</v>
      </c>
      <c r="J92" s="4" t="s">
        <v>7</v>
      </c>
      <c r="K92" s="4" t="s">
        <v>162</v>
      </c>
      <c r="L92" s="4" t="s">
        <v>39</v>
      </c>
    </row>
    <row r="93" spans="1:12">
      <c r="A93" s="5" t="s">
        <v>315</v>
      </c>
      <c r="B93" s="20">
        <v>9386</v>
      </c>
      <c r="C93" s="9">
        <v>2555</v>
      </c>
      <c r="D93" s="9">
        <v>20</v>
      </c>
      <c r="E93" s="9" t="s">
        <v>14</v>
      </c>
      <c r="F93" s="6" t="s">
        <v>40</v>
      </c>
      <c r="G93" s="6" t="s">
        <v>12</v>
      </c>
      <c r="H93" s="9" t="s">
        <v>292</v>
      </c>
      <c r="I93" s="6" t="s">
        <v>318</v>
      </c>
      <c r="J93" s="6" t="s">
        <v>22</v>
      </c>
      <c r="K93" s="6" t="s">
        <v>117</v>
      </c>
      <c r="L93" s="6" t="s">
        <v>69</v>
      </c>
    </row>
    <row r="94" spans="1:12">
      <c r="A94" s="5" t="s">
        <v>319</v>
      </c>
      <c r="B94" s="20">
        <v>9382</v>
      </c>
      <c r="C94" s="9">
        <v>1085</v>
      </c>
      <c r="D94" s="9">
        <v>3</v>
      </c>
      <c r="E94" s="9" t="s">
        <v>6</v>
      </c>
      <c r="F94" s="6" t="s">
        <v>24</v>
      </c>
      <c r="G94" s="6" t="s">
        <v>16</v>
      </c>
      <c r="H94" s="9" t="s">
        <v>320</v>
      </c>
      <c r="I94" s="6" t="s">
        <v>321</v>
      </c>
      <c r="J94" s="6" t="s">
        <v>15</v>
      </c>
      <c r="K94" s="6" t="s">
        <v>132</v>
      </c>
      <c r="L94" s="6" t="s">
        <v>78</v>
      </c>
    </row>
    <row r="95" spans="1:12">
      <c r="A95" s="3" t="s">
        <v>319</v>
      </c>
      <c r="B95" s="19">
        <v>9382</v>
      </c>
      <c r="C95" s="8">
        <v>1085</v>
      </c>
      <c r="D95" s="8">
        <v>3</v>
      </c>
      <c r="E95" s="8" t="s">
        <v>6</v>
      </c>
      <c r="F95" s="4" t="s">
        <v>24</v>
      </c>
      <c r="G95" s="4" t="s">
        <v>16</v>
      </c>
      <c r="H95" s="8" t="s">
        <v>313</v>
      </c>
      <c r="I95" s="4" t="s">
        <v>322</v>
      </c>
      <c r="J95" s="4" t="s">
        <v>19</v>
      </c>
      <c r="K95" s="4" t="s">
        <v>108</v>
      </c>
      <c r="L95" s="4" t="s">
        <v>64</v>
      </c>
    </row>
    <row r="96" spans="1:12">
      <c r="A96" s="5" t="s">
        <v>323</v>
      </c>
      <c r="B96" s="20">
        <v>9380</v>
      </c>
      <c r="C96" s="9">
        <v>414</v>
      </c>
      <c r="D96" s="9">
        <v>11</v>
      </c>
      <c r="E96" s="9" t="s">
        <v>6</v>
      </c>
      <c r="F96" s="6" t="s">
        <v>21</v>
      </c>
      <c r="G96" s="6" t="s">
        <v>23</v>
      </c>
      <c r="H96" s="9" t="s">
        <v>324</v>
      </c>
      <c r="I96" s="6" t="s">
        <v>325</v>
      </c>
      <c r="J96" s="6" t="s">
        <v>19</v>
      </c>
      <c r="K96" s="6" t="s">
        <v>108</v>
      </c>
      <c r="L96" s="6" t="s">
        <v>88</v>
      </c>
    </row>
    <row r="97" spans="1:12">
      <c r="A97" s="3" t="s">
        <v>326</v>
      </c>
      <c r="B97" s="19">
        <v>9369</v>
      </c>
      <c r="C97" s="8">
        <v>3297</v>
      </c>
      <c r="D97" s="8">
        <v>6</v>
      </c>
      <c r="E97" s="8" t="s">
        <v>6</v>
      </c>
      <c r="F97" s="4" t="s">
        <v>24</v>
      </c>
      <c r="G97" s="4" t="s">
        <v>16</v>
      </c>
      <c r="H97" s="8" t="s">
        <v>327</v>
      </c>
      <c r="I97" s="4" t="s">
        <v>328</v>
      </c>
      <c r="J97" s="4" t="s">
        <v>11</v>
      </c>
      <c r="K97" s="4" t="s">
        <v>120</v>
      </c>
      <c r="L97" s="4" t="s">
        <v>80</v>
      </c>
    </row>
    <row r="98" spans="1:12">
      <c r="A98" s="5" t="s">
        <v>326</v>
      </c>
      <c r="B98" s="20">
        <v>9369</v>
      </c>
      <c r="C98" s="9">
        <v>3297</v>
      </c>
      <c r="D98" s="9">
        <v>6</v>
      </c>
      <c r="E98" s="9" t="s">
        <v>6</v>
      </c>
      <c r="F98" s="6" t="s">
        <v>24</v>
      </c>
      <c r="G98" s="6" t="s">
        <v>16</v>
      </c>
      <c r="H98" s="9" t="s">
        <v>329</v>
      </c>
      <c r="I98" s="6" t="s">
        <v>330</v>
      </c>
      <c r="J98" s="6" t="s">
        <v>19</v>
      </c>
      <c r="K98" s="6" t="s">
        <v>210</v>
      </c>
      <c r="L98" s="6" t="s">
        <v>96</v>
      </c>
    </row>
    <row r="99" spans="1:12">
      <c r="A99" s="3" t="s">
        <v>331</v>
      </c>
      <c r="B99" s="19">
        <v>9337</v>
      </c>
      <c r="C99" s="8">
        <v>554</v>
      </c>
      <c r="D99" s="8">
        <v>11</v>
      </c>
      <c r="E99" s="8" t="s">
        <v>14</v>
      </c>
      <c r="F99" s="4" t="s">
        <v>44</v>
      </c>
      <c r="G99" s="4" t="s">
        <v>8</v>
      </c>
      <c r="H99" s="8" t="s">
        <v>332</v>
      </c>
      <c r="I99" s="4" t="s">
        <v>333</v>
      </c>
      <c r="J99" s="4" t="s">
        <v>11</v>
      </c>
      <c r="K99" s="4" t="s">
        <v>120</v>
      </c>
      <c r="L99" s="4" t="s">
        <v>83</v>
      </c>
    </row>
    <row r="100" spans="1:12">
      <c r="A100" s="3" t="s">
        <v>334</v>
      </c>
      <c r="B100" s="19">
        <v>9335</v>
      </c>
      <c r="C100" s="8">
        <v>557</v>
      </c>
      <c r="D100" s="8">
        <v>11</v>
      </c>
      <c r="E100" s="8" t="s">
        <v>6</v>
      </c>
      <c r="F100" s="4" t="s">
        <v>13</v>
      </c>
      <c r="G100" s="4" t="s">
        <v>8</v>
      </c>
      <c r="H100" s="8" t="s">
        <v>335</v>
      </c>
      <c r="I100" s="4" t="s">
        <v>336</v>
      </c>
      <c r="J100" s="4" t="s">
        <v>7</v>
      </c>
      <c r="K100" s="4" t="s">
        <v>205</v>
      </c>
      <c r="L100" s="4" t="s">
        <v>51</v>
      </c>
    </row>
    <row r="101" spans="1:12">
      <c r="A101" s="3" t="s">
        <v>337</v>
      </c>
      <c r="B101" s="19">
        <v>9316</v>
      </c>
      <c r="C101" s="8">
        <v>3003</v>
      </c>
      <c r="D101" s="8">
        <v>13</v>
      </c>
      <c r="E101" s="8" t="s">
        <v>10</v>
      </c>
      <c r="F101" s="4" t="s">
        <v>32</v>
      </c>
      <c r="G101" s="4" t="s">
        <v>12</v>
      </c>
      <c r="H101" s="8" t="s">
        <v>181</v>
      </c>
      <c r="I101" s="4" t="s">
        <v>338</v>
      </c>
      <c r="J101" s="4" t="s">
        <v>22</v>
      </c>
      <c r="K101" s="4" t="s">
        <v>223</v>
      </c>
      <c r="L101" s="4" t="s">
        <v>74</v>
      </c>
    </row>
    <row r="102" spans="1:12">
      <c r="A102" s="3" t="s">
        <v>339</v>
      </c>
      <c r="B102" s="19">
        <v>9300</v>
      </c>
      <c r="C102" s="8">
        <v>3146</v>
      </c>
      <c r="D102" s="8">
        <v>6</v>
      </c>
      <c r="E102" s="8" t="s">
        <v>6</v>
      </c>
      <c r="F102" s="4" t="s">
        <v>21</v>
      </c>
      <c r="G102" s="4" t="s">
        <v>12</v>
      </c>
      <c r="H102" s="8" t="s">
        <v>340</v>
      </c>
      <c r="I102" s="4" t="s">
        <v>341</v>
      </c>
      <c r="J102" s="4" t="s">
        <v>7</v>
      </c>
      <c r="K102" s="4" t="s">
        <v>124</v>
      </c>
      <c r="L102" s="4" t="s">
        <v>49</v>
      </c>
    </row>
    <row r="103" spans="1:12">
      <c r="A103" s="3" t="s">
        <v>342</v>
      </c>
      <c r="B103" s="19">
        <v>9279</v>
      </c>
      <c r="C103" s="8">
        <v>552</v>
      </c>
      <c r="D103" s="8">
        <v>14</v>
      </c>
      <c r="E103" s="8" t="s">
        <v>10</v>
      </c>
      <c r="F103" s="4" t="s">
        <v>30</v>
      </c>
      <c r="G103" s="4" t="s">
        <v>20</v>
      </c>
      <c r="H103" s="8" t="s">
        <v>343</v>
      </c>
      <c r="I103" s="4" t="s">
        <v>344</v>
      </c>
      <c r="J103" s="4" t="s">
        <v>19</v>
      </c>
      <c r="K103" s="4" t="s">
        <v>126</v>
      </c>
      <c r="L103" s="4" t="s">
        <v>59</v>
      </c>
    </row>
    <row r="104" spans="1:12">
      <c r="A104" s="5" t="s">
        <v>342</v>
      </c>
      <c r="B104" s="20">
        <v>9279</v>
      </c>
      <c r="C104" s="9">
        <v>552</v>
      </c>
      <c r="D104" s="9">
        <v>14</v>
      </c>
      <c r="E104" s="9" t="s">
        <v>10</v>
      </c>
      <c r="F104" s="6" t="s">
        <v>30</v>
      </c>
      <c r="G104" s="6" t="s">
        <v>20</v>
      </c>
      <c r="H104" s="9" t="s">
        <v>345</v>
      </c>
      <c r="I104" s="6" t="s">
        <v>346</v>
      </c>
      <c r="J104" s="6" t="s">
        <v>7</v>
      </c>
      <c r="K104" s="6" t="s">
        <v>124</v>
      </c>
      <c r="L104" s="6" t="s">
        <v>45</v>
      </c>
    </row>
    <row r="105" spans="1:12">
      <c r="A105" s="3" t="s">
        <v>347</v>
      </c>
      <c r="B105" s="19">
        <v>9272</v>
      </c>
      <c r="C105" s="8">
        <v>1771</v>
      </c>
      <c r="D105" s="8">
        <v>19</v>
      </c>
      <c r="E105" s="8" t="s">
        <v>14</v>
      </c>
      <c r="F105" s="4" t="s">
        <v>40</v>
      </c>
      <c r="G105" s="4" t="s">
        <v>23</v>
      </c>
      <c r="H105" s="8" t="s">
        <v>348</v>
      </c>
      <c r="I105" s="4" t="s">
        <v>349</v>
      </c>
      <c r="J105" s="4" t="s">
        <v>15</v>
      </c>
      <c r="K105" s="4" t="s">
        <v>171</v>
      </c>
      <c r="L105" s="4" t="s">
        <v>94</v>
      </c>
    </row>
    <row r="106" spans="1:12">
      <c r="A106" s="5" t="s">
        <v>347</v>
      </c>
      <c r="B106" s="20">
        <v>9272</v>
      </c>
      <c r="C106" s="9">
        <v>1771</v>
      </c>
      <c r="D106" s="9">
        <v>19</v>
      </c>
      <c r="E106" s="9" t="s">
        <v>14</v>
      </c>
      <c r="F106" s="6" t="s">
        <v>40</v>
      </c>
      <c r="G106" s="6" t="s">
        <v>23</v>
      </c>
      <c r="H106" s="9" t="s">
        <v>350</v>
      </c>
      <c r="I106" s="6" t="s">
        <v>351</v>
      </c>
      <c r="J106" s="6" t="s">
        <v>25</v>
      </c>
      <c r="K106" s="6" t="s">
        <v>129</v>
      </c>
      <c r="L106" s="6" t="s">
        <v>31</v>
      </c>
    </row>
    <row r="107" spans="1:12">
      <c r="A107" s="5" t="s">
        <v>352</v>
      </c>
      <c r="B107" s="20">
        <v>9236</v>
      </c>
      <c r="C107" s="9">
        <v>2899</v>
      </c>
      <c r="D107" s="9">
        <v>5</v>
      </c>
      <c r="E107" s="9" t="s">
        <v>6</v>
      </c>
      <c r="F107" s="6" t="s">
        <v>17</v>
      </c>
      <c r="G107" s="6" t="s">
        <v>16</v>
      </c>
      <c r="H107" s="11">
        <v>44622</v>
      </c>
      <c r="I107" s="6" t="s">
        <v>353</v>
      </c>
      <c r="J107" s="6" t="s">
        <v>25</v>
      </c>
      <c r="K107" s="6" t="s">
        <v>111</v>
      </c>
      <c r="L107" s="6" t="s">
        <v>61</v>
      </c>
    </row>
    <row r="108" spans="1:12">
      <c r="A108" s="3" t="s">
        <v>352</v>
      </c>
      <c r="B108" s="19">
        <v>9236</v>
      </c>
      <c r="C108" s="8">
        <v>2899</v>
      </c>
      <c r="D108" s="8">
        <v>5</v>
      </c>
      <c r="E108" s="8" t="s">
        <v>6</v>
      </c>
      <c r="F108" s="4" t="s">
        <v>17</v>
      </c>
      <c r="G108" s="4" t="s">
        <v>16</v>
      </c>
      <c r="H108" s="10">
        <v>44542</v>
      </c>
      <c r="I108" s="4" t="s">
        <v>354</v>
      </c>
      <c r="J108" s="4" t="s">
        <v>7</v>
      </c>
      <c r="K108" s="4" t="s">
        <v>162</v>
      </c>
      <c r="L108" s="4" t="s">
        <v>59</v>
      </c>
    </row>
    <row r="109" spans="1:12">
      <c r="A109" s="3" t="s">
        <v>217</v>
      </c>
      <c r="B109" s="19">
        <v>9229</v>
      </c>
      <c r="C109" s="8">
        <v>4090</v>
      </c>
      <c r="D109" s="8">
        <v>8</v>
      </c>
      <c r="E109" s="8" t="s">
        <v>6</v>
      </c>
      <c r="F109" s="4" t="s">
        <v>13</v>
      </c>
      <c r="G109" s="4" t="s">
        <v>8</v>
      </c>
      <c r="H109" s="8" t="s">
        <v>183</v>
      </c>
      <c r="I109" s="4" t="s">
        <v>218</v>
      </c>
      <c r="J109" s="4" t="s">
        <v>19</v>
      </c>
      <c r="K109" s="4" t="s">
        <v>108</v>
      </c>
      <c r="L109" s="4" t="s">
        <v>83</v>
      </c>
    </row>
    <row r="110" spans="1:12">
      <c r="A110" s="3" t="s">
        <v>355</v>
      </c>
      <c r="B110" s="19">
        <v>9215</v>
      </c>
      <c r="C110" s="8">
        <v>767</v>
      </c>
      <c r="D110" s="8">
        <v>13</v>
      </c>
      <c r="E110" s="8" t="s">
        <v>6</v>
      </c>
      <c r="F110" s="4" t="s">
        <v>24</v>
      </c>
      <c r="G110" s="4" t="s">
        <v>8</v>
      </c>
      <c r="H110" s="10">
        <v>44835</v>
      </c>
      <c r="I110" s="4" t="s">
        <v>356</v>
      </c>
      <c r="J110" s="4" t="s">
        <v>11</v>
      </c>
      <c r="K110" s="4" t="s">
        <v>136</v>
      </c>
      <c r="L110" s="4" t="s">
        <v>60</v>
      </c>
    </row>
    <row r="111" spans="1:12">
      <c r="A111" s="5" t="s">
        <v>355</v>
      </c>
      <c r="B111" s="20">
        <v>9215</v>
      </c>
      <c r="C111" s="9">
        <v>767</v>
      </c>
      <c r="D111" s="9">
        <v>13</v>
      </c>
      <c r="E111" s="9" t="s">
        <v>6</v>
      </c>
      <c r="F111" s="6" t="s">
        <v>24</v>
      </c>
      <c r="G111" s="6" t="s">
        <v>8</v>
      </c>
      <c r="H111" s="11">
        <v>44207</v>
      </c>
      <c r="I111" s="6" t="s">
        <v>357</v>
      </c>
      <c r="J111" s="6" t="s">
        <v>7</v>
      </c>
      <c r="K111" s="6" t="s">
        <v>124</v>
      </c>
      <c r="L111" s="6" t="s">
        <v>58</v>
      </c>
    </row>
    <row r="112" spans="1:12">
      <c r="A112" s="5" t="s">
        <v>153</v>
      </c>
      <c r="B112" s="20">
        <v>9204</v>
      </c>
      <c r="C112" s="9">
        <v>3289</v>
      </c>
      <c r="D112" s="9">
        <v>16</v>
      </c>
      <c r="E112" s="9" t="s">
        <v>6</v>
      </c>
      <c r="F112" s="6" t="s">
        <v>17</v>
      </c>
      <c r="G112" s="6" t="s">
        <v>12</v>
      </c>
      <c r="H112" s="9" t="s">
        <v>154</v>
      </c>
      <c r="I112" s="6" t="s">
        <v>155</v>
      </c>
      <c r="J112" s="6" t="s">
        <v>11</v>
      </c>
      <c r="K112" s="6" t="s">
        <v>156</v>
      </c>
      <c r="L112" s="6" t="s">
        <v>85</v>
      </c>
    </row>
    <row r="113" spans="1:12">
      <c r="A113" s="3" t="s">
        <v>153</v>
      </c>
      <c r="B113" s="19">
        <v>9204</v>
      </c>
      <c r="C113" s="8">
        <v>3289</v>
      </c>
      <c r="D113" s="8">
        <v>16</v>
      </c>
      <c r="E113" s="8" t="s">
        <v>6</v>
      </c>
      <c r="F113" s="4" t="s">
        <v>17</v>
      </c>
      <c r="G113" s="4" t="s">
        <v>12</v>
      </c>
      <c r="H113" s="8" t="s">
        <v>157</v>
      </c>
      <c r="I113" s="4" t="s">
        <v>158</v>
      </c>
      <c r="J113" s="4" t="s">
        <v>11</v>
      </c>
      <c r="K113" s="4" t="s">
        <v>156</v>
      </c>
      <c r="L113" s="4" t="s">
        <v>53</v>
      </c>
    </row>
    <row r="114" spans="1:12">
      <c r="A114" s="5" t="s">
        <v>358</v>
      </c>
      <c r="B114" s="20">
        <v>9200</v>
      </c>
      <c r="C114" s="9">
        <v>809</v>
      </c>
      <c r="D114" s="9">
        <v>13</v>
      </c>
      <c r="E114" s="9" t="s">
        <v>6</v>
      </c>
      <c r="F114" s="6" t="s">
        <v>17</v>
      </c>
      <c r="G114" s="6" t="s">
        <v>8</v>
      </c>
      <c r="H114" s="9" t="s">
        <v>359</v>
      </c>
      <c r="I114" s="6" t="s">
        <v>360</v>
      </c>
      <c r="J114" s="6" t="s">
        <v>11</v>
      </c>
      <c r="K114" s="6" t="s">
        <v>120</v>
      </c>
      <c r="L114" s="6" t="s">
        <v>64</v>
      </c>
    </row>
    <row r="115" spans="1:12">
      <c r="A115" s="3" t="s">
        <v>361</v>
      </c>
      <c r="B115" s="19">
        <v>9144</v>
      </c>
      <c r="C115" s="8">
        <v>2220</v>
      </c>
      <c r="D115" s="8">
        <v>18</v>
      </c>
      <c r="E115" s="8" t="s">
        <v>14</v>
      </c>
      <c r="F115" s="4" t="s">
        <v>38</v>
      </c>
      <c r="G115" s="4" t="s">
        <v>12</v>
      </c>
      <c r="H115" s="8" t="s">
        <v>362</v>
      </c>
      <c r="I115" s="4" t="s">
        <v>363</v>
      </c>
      <c r="J115" s="4" t="s">
        <v>11</v>
      </c>
      <c r="K115" s="4" t="s">
        <v>156</v>
      </c>
      <c r="L115" s="4" t="s">
        <v>53</v>
      </c>
    </row>
    <row r="116" spans="1:12">
      <c r="A116" s="5" t="s">
        <v>364</v>
      </c>
      <c r="B116" s="20">
        <v>9132</v>
      </c>
      <c r="C116" s="9">
        <v>3096</v>
      </c>
      <c r="D116" s="9">
        <v>14</v>
      </c>
      <c r="E116" s="9" t="s">
        <v>10</v>
      </c>
      <c r="F116" s="6" t="s">
        <v>30</v>
      </c>
      <c r="G116" s="6" t="s">
        <v>16</v>
      </c>
      <c r="H116" s="9" t="s">
        <v>332</v>
      </c>
      <c r="I116" s="6" t="s">
        <v>365</v>
      </c>
      <c r="J116" s="6" t="s">
        <v>11</v>
      </c>
      <c r="K116" s="6" t="s">
        <v>136</v>
      </c>
      <c r="L116" s="6" t="s">
        <v>83</v>
      </c>
    </row>
    <row r="117" spans="1:12">
      <c r="A117" s="5" t="s">
        <v>366</v>
      </c>
      <c r="B117" s="20">
        <v>9109</v>
      </c>
      <c r="C117" s="9">
        <v>586</v>
      </c>
      <c r="D117" s="9">
        <v>17</v>
      </c>
      <c r="E117" s="9" t="s">
        <v>10</v>
      </c>
      <c r="F117" s="6" t="s">
        <v>32</v>
      </c>
      <c r="G117" s="6" t="s">
        <v>20</v>
      </c>
      <c r="H117" s="9" t="s">
        <v>367</v>
      </c>
      <c r="I117" s="6" t="s">
        <v>368</v>
      </c>
      <c r="J117" s="6" t="s">
        <v>11</v>
      </c>
      <c r="K117" s="6" t="s">
        <v>156</v>
      </c>
      <c r="L117" s="6" t="s">
        <v>33</v>
      </c>
    </row>
    <row r="118" spans="1:12">
      <c r="A118" s="5" t="s">
        <v>369</v>
      </c>
      <c r="B118" s="20">
        <v>9090</v>
      </c>
      <c r="C118" s="9">
        <v>3098</v>
      </c>
      <c r="D118" s="9">
        <v>16</v>
      </c>
      <c r="E118" s="9" t="s">
        <v>6</v>
      </c>
      <c r="F118" s="6" t="s">
        <v>21</v>
      </c>
      <c r="G118" s="6" t="s">
        <v>12</v>
      </c>
      <c r="H118" s="11">
        <v>44200</v>
      </c>
      <c r="I118" s="6" t="s">
        <v>370</v>
      </c>
      <c r="J118" s="6" t="s">
        <v>25</v>
      </c>
      <c r="K118" s="6" t="s">
        <v>129</v>
      </c>
      <c r="L118" s="6" t="s">
        <v>51</v>
      </c>
    </row>
    <row r="119" spans="1:12">
      <c r="A119" s="3" t="s">
        <v>369</v>
      </c>
      <c r="B119" s="19">
        <v>9090</v>
      </c>
      <c r="C119" s="8">
        <v>3098</v>
      </c>
      <c r="D119" s="8">
        <v>16</v>
      </c>
      <c r="E119" s="8" t="s">
        <v>6</v>
      </c>
      <c r="F119" s="4" t="s">
        <v>21</v>
      </c>
      <c r="G119" s="4" t="s">
        <v>12</v>
      </c>
      <c r="H119" s="8" t="s">
        <v>371</v>
      </c>
      <c r="I119" s="4" t="s">
        <v>372</v>
      </c>
      <c r="J119" s="4" t="s">
        <v>15</v>
      </c>
      <c r="K119" s="4" t="s">
        <v>171</v>
      </c>
      <c r="L119" s="4" t="s">
        <v>88</v>
      </c>
    </row>
    <row r="120" spans="1:12">
      <c r="A120" s="5" t="s">
        <v>373</v>
      </c>
      <c r="B120" s="20">
        <v>9084</v>
      </c>
      <c r="C120" s="9">
        <v>3253</v>
      </c>
      <c r="D120" s="9">
        <v>12</v>
      </c>
      <c r="E120" s="9" t="s">
        <v>14</v>
      </c>
      <c r="F120" s="6" t="s">
        <v>44</v>
      </c>
      <c r="G120" s="6" t="s">
        <v>16</v>
      </c>
      <c r="H120" s="11">
        <v>45057</v>
      </c>
      <c r="I120" s="6" t="s">
        <v>374</v>
      </c>
      <c r="J120" s="6" t="s">
        <v>19</v>
      </c>
      <c r="K120" s="6" t="s">
        <v>126</v>
      </c>
      <c r="L120" s="6" t="s">
        <v>82</v>
      </c>
    </row>
    <row r="121" spans="1:12">
      <c r="A121" s="3" t="s">
        <v>375</v>
      </c>
      <c r="B121" s="19">
        <v>9078</v>
      </c>
      <c r="C121" s="8">
        <v>2213</v>
      </c>
      <c r="D121" s="8">
        <v>15</v>
      </c>
      <c r="E121" s="8" t="s">
        <v>10</v>
      </c>
      <c r="F121" s="4" t="s">
        <v>28</v>
      </c>
      <c r="G121" s="4" t="s">
        <v>20</v>
      </c>
      <c r="H121" s="10">
        <v>44538</v>
      </c>
      <c r="I121" s="4" t="s">
        <v>376</v>
      </c>
      <c r="J121" s="4" t="s">
        <v>15</v>
      </c>
      <c r="K121" s="4" t="s">
        <v>171</v>
      </c>
      <c r="L121" s="4" t="s">
        <v>55</v>
      </c>
    </row>
    <row r="122" spans="1:12">
      <c r="A122" s="5" t="s">
        <v>377</v>
      </c>
      <c r="B122" s="20">
        <v>9073</v>
      </c>
      <c r="C122" s="9">
        <v>424</v>
      </c>
      <c r="D122" s="9">
        <v>7</v>
      </c>
      <c r="E122" s="9" t="s">
        <v>6</v>
      </c>
      <c r="F122" s="6" t="s">
        <v>13</v>
      </c>
      <c r="G122" s="6" t="s">
        <v>16</v>
      </c>
      <c r="H122" s="11">
        <v>45144</v>
      </c>
      <c r="I122" s="6" t="s">
        <v>378</v>
      </c>
      <c r="J122" s="6" t="s">
        <v>19</v>
      </c>
      <c r="K122" s="6" t="s">
        <v>108</v>
      </c>
      <c r="L122" s="6" t="s">
        <v>77</v>
      </c>
    </row>
    <row r="123" spans="1:12">
      <c r="A123" s="5" t="s">
        <v>358</v>
      </c>
      <c r="B123" s="20">
        <v>9057</v>
      </c>
      <c r="C123" s="9">
        <v>1888</v>
      </c>
      <c r="D123" s="9">
        <v>19</v>
      </c>
      <c r="E123" s="9" t="s">
        <v>6</v>
      </c>
      <c r="F123" s="6" t="s">
        <v>24</v>
      </c>
      <c r="G123" s="6" t="s">
        <v>8</v>
      </c>
      <c r="H123" s="9" t="s">
        <v>359</v>
      </c>
      <c r="I123" s="6" t="s">
        <v>360</v>
      </c>
      <c r="J123" s="6" t="s">
        <v>11</v>
      </c>
      <c r="K123" s="6" t="s">
        <v>120</v>
      </c>
      <c r="L123" s="6" t="s">
        <v>64</v>
      </c>
    </row>
    <row r="124" spans="1:12">
      <c r="A124" s="3" t="s">
        <v>294</v>
      </c>
      <c r="B124" s="19">
        <v>9035</v>
      </c>
      <c r="C124" s="8">
        <v>1227</v>
      </c>
      <c r="D124" s="8">
        <v>14</v>
      </c>
      <c r="E124" s="8" t="s">
        <v>10</v>
      </c>
      <c r="F124" s="4" t="s">
        <v>30</v>
      </c>
      <c r="G124" s="4" t="s">
        <v>20</v>
      </c>
      <c r="H124" s="10">
        <v>45391</v>
      </c>
      <c r="I124" s="4" t="s">
        <v>295</v>
      </c>
      <c r="J124" s="4" t="s">
        <v>7</v>
      </c>
      <c r="K124" s="4" t="s">
        <v>124</v>
      </c>
      <c r="L124" s="4" t="s">
        <v>92</v>
      </c>
    </row>
    <row r="125" spans="1:12">
      <c r="A125" s="5" t="s">
        <v>294</v>
      </c>
      <c r="B125" s="20">
        <v>9035</v>
      </c>
      <c r="C125" s="9">
        <v>1227</v>
      </c>
      <c r="D125" s="9">
        <v>14</v>
      </c>
      <c r="E125" s="9" t="s">
        <v>10</v>
      </c>
      <c r="F125" s="6" t="s">
        <v>30</v>
      </c>
      <c r="G125" s="6" t="s">
        <v>20</v>
      </c>
      <c r="H125" s="9" t="s">
        <v>296</v>
      </c>
      <c r="I125" s="6" t="s">
        <v>297</v>
      </c>
      <c r="J125" s="6" t="s">
        <v>22</v>
      </c>
      <c r="K125" s="6" t="s">
        <v>117</v>
      </c>
      <c r="L125" s="6" t="s">
        <v>52</v>
      </c>
    </row>
    <row r="126" spans="1:12">
      <c r="A126" s="3" t="s">
        <v>379</v>
      </c>
      <c r="B126" s="19">
        <v>9024</v>
      </c>
      <c r="C126" s="8">
        <v>730</v>
      </c>
      <c r="D126" s="8">
        <v>4</v>
      </c>
      <c r="E126" s="8" t="s">
        <v>10</v>
      </c>
      <c r="F126" s="4" t="s">
        <v>34</v>
      </c>
      <c r="G126" s="4" t="s">
        <v>12</v>
      </c>
      <c r="H126" s="8" t="s">
        <v>380</v>
      </c>
      <c r="I126" s="4" t="s">
        <v>381</v>
      </c>
      <c r="J126" s="4" t="s">
        <v>25</v>
      </c>
      <c r="K126" s="4" t="s">
        <v>129</v>
      </c>
      <c r="L126" s="4" t="s">
        <v>85</v>
      </c>
    </row>
    <row r="127" spans="1:12">
      <c r="A127" s="3" t="s">
        <v>382</v>
      </c>
      <c r="B127" s="19">
        <v>9002</v>
      </c>
      <c r="C127" s="8">
        <v>4197</v>
      </c>
      <c r="D127" s="8">
        <v>2</v>
      </c>
      <c r="E127" s="8" t="s">
        <v>14</v>
      </c>
      <c r="F127" s="4" t="s">
        <v>40</v>
      </c>
      <c r="G127" s="4" t="s">
        <v>20</v>
      </c>
      <c r="H127" s="8" t="s">
        <v>383</v>
      </c>
      <c r="I127" s="4" t="s">
        <v>384</v>
      </c>
      <c r="J127" s="4" t="s">
        <v>22</v>
      </c>
      <c r="K127" s="4" t="s">
        <v>223</v>
      </c>
      <c r="L127" s="4" t="s">
        <v>96</v>
      </c>
    </row>
    <row r="128" spans="1:12">
      <c r="A128" s="5" t="s">
        <v>382</v>
      </c>
      <c r="B128" s="20">
        <v>9002</v>
      </c>
      <c r="C128" s="9">
        <v>4197</v>
      </c>
      <c r="D128" s="9">
        <v>2</v>
      </c>
      <c r="E128" s="9" t="s">
        <v>14</v>
      </c>
      <c r="F128" s="6" t="s">
        <v>40</v>
      </c>
      <c r="G128" s="6" t="s">
        <v>20</v>
      </c>
      <c r="H128" s="9" t="s">
        <v>385</v>
      </c>
      <c r="I128" s="6" t="s">
        <v>386</v>
      </c>
      <c r="J128" s="6" t="s">
        <v>22</v>
      </c>
      <c r="K128" s="6" t="s">
        <v>179</v>
      </c>
      <c r="L128" s="6" t="s">
        <v>50</v>
      </c>
    </row>
    <row r="129" spans="1:12">
      <c r="A129" s="3" t="s">
        <v>387</v>
      </c>
      <c r="B129" s="19">
        <v>8994</v>
      </c>
      <c r="C129" s="8">
        <v>1481</v>
      </c>
      <c r="D129" s="8">
        <v>15</v>
      </c>
      <c r="E129" s="8" t="s">
        <v>6</v>
      </c>
      <c r="F129" s="4" t="s">
        <v>21</v>
      </c>
      <c r="G129" s="4" t="s">
        <v>12</v>
      </c>
      <c r="H129" s="8" t="s">
        <v>388</v>
      </c>
      <c r="I129" s="4" t="s">
        <v>389</v>
      </c>
      <c r="J129" s="4" t="s">
        <v>7</v>
      </c>
      <c r="K129" s="4" t="s">
        <v>162</v>
      </c>
      <c r="L129" s="4" t="s">
        <v>35</v>
      </c>
    </row>
    <row r="130" spans="1:12">
      <c r="A130" s="5" t="s">
        <v>390</v>
      </c>
      <c r="B130" s="20">
        <v>8982</v>
      </c>
      <c r="C130" s="9">
        <v>448</v>
      </c>
      <c r="D130" s="9">
        <v>17</v>
      </c>
      <c r="E130" s="9" t="s">
        <v>10</v>
      </c>
      <c r="F130" s="6" t="s">
        <v>32</v>
      </c>
      <c r="G130" s="6" t="s">
        <v>23</v>
      </c>
      <c r="H130" s="11">
        <v>44382</v>
      </c>
      <c r="I130" s="6" t="s">
        <v>391</v>
      </c>
      <c r="J130" s="6" t="s">
        <v>19</v>
      </c>
      <c r="K130" s="6" t="s">
        <v>210</v>
      </c>
      <c r="L130" s="6" t="s">
        <v>52</v>
      </c>
    </row>
    <row r="131" spans="1:12">
      <c r="A131" s="5" t="s">
        <v>392</v>
      </c>
      <c r="B131" s="20">
        <v>8979</v>
      </c>
      <c r="C131" s="9">
        <v>4477</v>
      </c>
      <c r="D131" s="9">
        <v>4</v>
      </c>
      <c r="E131" s="9" t="s">
        <v>14</v>
      </c>
      <c r="F131" s="6" t="s">
        <v>42</v>
      </c>
      <c r="G131" s="6" t="s">
        <v>12</v>
      </c>
      <c r="H131" s="9" t="s">
        <v>393</v>
      </c>
      <c r="I131" s="6" t="s">
        <v>394</v>
      </c>
      <c r="J131" s="6" t="s">
        <v>15</v>
      </c>
      <c r="K131" s="6" t="s">
        <v>132</v>
      </c>
      <c r="L131" s="6" t="s">
        <v>39</v>
      </c>
    </row>
    <row r="132" spans="1:12">
      <c r="A132" s="3" t="s">
        <v>395</v>
      </c>
      <c r="B132" s="19">
        <v>8974</v>
      </c>
      <c r="C132" s="8">
        <v>4441</v>
      </c>
      <c r="D132" s="8">
        <v>16</v>
      </c>
      <c r="E132" s="8" t="s">
        <v>6</v>
      </c>
      <c r="F132" s="4" t="s">
        <v>24</v>
      </c>
      <c r="G132" s="4" t="s">
        <v>20</v>
      </c>
      <c r="H132" s="10">
        <v>45052</v>
      </c>
      <c r="I132" s="4" t="s">
        <v>396</v>
      </c>
      <c r="J132" s="4" t="s">
        <v>19</v>
      </c>
      <c r="K132" s="4" t="s">
        <v>210</v>
      </c>
      <c r="L132" s="4" t="s">
        <v>77</v>
      </c>
    </row>
    <row r="133" spans="1:12">
      <c r="A133" s="5" t="s">
        <v>397</v>
      </c>
      <c r="B133" s="20">
        <v>8971</v>
      </c>
      <c r="C133" s="9">
        <v>2971</v>
      </c>
      <c r="D133" s="9">
        <v>19</v>
      </c>
      <c r="E133" s="9" t="s">
        <v>14</v>
      </c>
      <c r="F133" s="6" t="s">
        <v>38</v>
      </c>
      <c r="G133" s="6" t="s">
        <v>16</v>
      </c>
      <c r="H133" s="9" t="s">
        <v>398</v>
      </c>
      <c r="I133" s="6" t="s">
        <v>399</v>
      </c>
      <c r="J133" s="6" t="s">
        <v>7</v>
      </c>
      <c r="K133" s="6" t="s">
        <v>162</v>
      </c>
      <c r="L133" s="6" t="s">
        <v>45</v>
      </c>
    </row>
    <row r="134" spans="1:12">
      <c r="A134" s="3" t="s">
        <v>400</v>
      </c>
      <c r="B134" s="19">
        <v>8962</v>
      </c>
      <c r="C134" s="8">
        <v>2444</v>
      </c>
      <c r="D134" s="8">
        <v>18</v>
      </c>
      <c r="E134" s="8" t="s">
        <v>6</v>
      </c>
      <c r="F134" s="4" t="s">
        <v>13</v>
      </c>
      <c r="G134" s="4" t="s">
        <v>16</v>
      </c>
      <c r="H134" s="10">
        <v>44537</v>
      </c>
      <c r="I134" s="4" t="s">
        <v>401</v>
      </c>
      <c r="J134" s="4" t="s">
        <v>22</v>
      </c>
      <c r="K134" s="4" t="s">
        <v>117</v>
      </c>
      <c r="L134" s="4" t="s">
        <v>54</v>
      </c>
    </row>
    <row r="135" spans="1:12">
      <c r="A135" s="5" t="s">
        <v>400</v>
      </c>
      <c r="B135" s="20">
        <v>8962</v>
      </c>
      <c r="C135" s="9">
        <v>2444</v>
      </c>
      <c r="D135" s="9">
        <v>18</v>
      </c>
      <c r="E135" s="9" t="s">
        <v>6</v>
      </c>
      <c r="F135" s="6" t="s">
        <v>13</v>
      </c>
      <c r="G135" s="6" t="s">
        <v>16</v>
      </c>
      <c r="H135" s="9" t="s">
        <v>402</v>
      </c>
      <c r="I135" s="6" t="s">
        <v>403</v>
      </c>
      <c r="J135" s="6" t="s">
        <v>15</v>
      </c>
      <c r="K135" s="6" t="s">
        <v>235</v>
      </c>
      <c r="L135" s="6" t="s">
        <v>29</v>
      </c>
    </row>
    <row r="136" spans="1:12">
      <c r="A136" s="5" t="s">
        <v>404</v>
      </c>
      <c r="B136" s="20">
        <v>8956</v>
      </c>
      <c r="C136" s="9">
        <v>3359</v>
      </c>
      <c r="D136" s="9">
        <v>13</v>
      </c>
      <c r="E136" s="9" t="s">
        <v>10</v>
      </c>
      <c r="F136" s="6" t="s">
        <v>28</v>
      </c>
      <c r="G136" s="6" t="s">
        <v>12</v>
      </c>
      <c r="H136" s="11">
        <v>44566</v>
      </c>
      <c r="I136" s="6" t="s">
        <v>405</v>
      </c>
      <c r="J136" s="6" t="s">
        <v>25</v>
      </c>
      <c r="K136" s="6" t="s">
        <v>253</v>
      </c>
      <c r="L136" s="6" t="s">
        <v>64</v>
      </c>
    </row>
    <row r="137" spans="1:12">
      <c r="A137" s="5" t="s">
        <v>406</v>
      </c>
      <c r="B137" s="20">
        <v>8947</v>
      </c>
      <c r="C137" s="9">
        <v>2807</v>
      </c>
      <c r="D137" s="9">
        <v>6</v>
      </c>
      <c r="E137" s="9" t="s">
        <v>6</v>
      </c>
      <c r="F137" s="6" t="s">
        <v>13</v>
      </c>
      <c r="G137" s="6" t="s">
        <v>12</v>
      </c>
      <c r="H137" s="9" t="s">
        <v>407</v>
      </c>
      <c r="I137" s="6" t="s">
        <v>408</v>
      </c>
      <c r="J137" s="6" t="s">
        <v>19</v>
      </c>
      <c r="K137" s="6" t="s">
        <v>108</v>
      </c>
      <c r="L137" s="6" t="s">
        <v>50</v>
      </c>
    </row>
    <row r="138" spans="1:12">
      <c r="A138" s="5" t="s">
        <v>409</v>
      </c>
      <c r="B138" s="20">
        <v>8945</v>
      </c>
      <c r="C138" s="9">
        <v>1728</v>
      </c>
      <c r="D138" s="9">
        <v>10</v>
      </c>
      <c r="E138" s="9" t="s">
        <v>10</v>
      </c>
      <c r="F138" s="6" t="s">
        <v>34</v>
      </c>
      <c r="G138" s="6" t="s">
        <v>23</v>
      </c>
      <c r="H138" s="11">
        <v>44471</v>
      </c>
      <c r="I138" s="6" t="s">
        <v>410</v>
      </c>
      <c r="J138" s="6" t="s">
        <v>15</v>
      </c>
      <c r="K138" s="6" t="s">
        <v>235</v>
      </c>
      <c r="L138" s="6" t="s">
        <v>49</v>
      </c>
    </row>
    <row r="139" spans="1:12">
      <c r="A139" s="3" t="s">
        <v>411</v>
      </c>
      <c r="B139" s="19">
        <v>8943</v>
      </c>
      <c r="C139" s="8">
        <v>3121</v>
      </c>
      <c r="D139" s="8">
        <v>17</v>
      </c>
      <c r="E139" s="8" t="s">
        <v>10</v>
      </c>
      <c r="F139" s="4" t="s">
        <v>30</v>
      </c>
      <c r="G139" s="4" t="s">
        <v>16</v>
      </c>
      <c r="H139" s="10">
        <v>44783</v>
      </c>
      <c r="I139" s="4" t="s">
        <v>412</v>
      </c>
      <c r="J139" s="4" t="s">
        <v>25</v>
      </c>
      <c r="K139" s="4" t="s">
        <v>111</v>
      </c>
      <c r="L139" s="4" t="s">
        <v>69</v>
      </c>
    </row>
    <row r="140" spans="1:12">
      <c r="A140" s="5" t="s">
        <v>411</v>
      </c>
      <c r="B140" s="20">
        <v>8943</v>
      </c>
      <c r="C140" s="9">
        <v>3121</v>
      </c>
      <c r="D140" s="9">
        <v>17</v>
      </c>
      <c r="E140" s="9" t="s">
        <v>10</v>
      </c>
      <c r="F140" s="6" t="s">
        <v>30</v>
      </c>
      <c r="G140" s="6" t="s">
        <v>16</v>
      </c>
      <c r="H140" s="9" t="s">
        <v>413</v>
      </c>
      <c r="I140" s="6" t="s">
        <v>414</v>
      </c>
      <c r="J140" s="6" t="s">
        <v>22</v>
      </c>
      <c r="K140" s="6" t="s">
        <v>223</v>
      </c>
      <c r="L140" s="6" t="s">
        <v>81</v>
      </c>
    </row>
    <row r="141" spans="1:12">
      <c r="A141" s="3" t="s">
        <v>411</v>
      </c>
      <c r="B141" s="19">
        <v>8943</v>
      </c>
      <c r="C141" s="8">
        <v>3121</v>
      </c>
      <c r="D141" s="8">
        <v>17</v>
      </c>
      <c r="E141" s="8" t="s">
        <v>10</v>
      </c>
      <c r="F141" s="4" t="s">
        <v>30</v>
      </c>
      <c r="G141" s="4" t="s">
        <v>16</v>
      </c>
      <c r="H141" s="10">
        <v>44441</v>
      </c>
      <c r="I141" s="4" t="s">
        <v>415</v>
      </c>
      <c r="J141" s="4" t="s">
        <v>25</v>
      </c>
      <c r="K141" s="4" t="s">
        <v>129</v>
      </c>
      <c r="L141" s="4" t="s">
        <v>49</v>
      </c>
    </row>
    <row r="142" spans="1:12">
      <c r="A142" s="5" t="s">
        <v>416</v>
      </c>
      <c r="B142" s="20">
        <v>8930</v>
      </c>
      <c r="C142" s="9">
        <v>3374</v>
      </c>
      <c r="D142" s="9">
        <v>12</v>
      </c>
      <c r="E142" s="9" t="s">
        <v>10</v>
      </c>
      <c r="F142" s="6" t="s">
        <v>32</v>
      </c>
      <c r="G142" s="6" t="s">
        <v>16</v>
      </c>
      <c r="H142" s="11">
        <v>43926</v>
      </c>
      <c r="I142" s="6" t="s">
        <v>417</v>
      </c>
      <c r="J142" s="6" t="s">
        <v>19</v>
      </c>
      <c r="K142" s="6" t="s">
        <v>126</v>
      </c>
      <c r="L142" s="6" t="s">
        <v>33</v>
      </c>
    </row>
    <row r="143" spans="1:12">
      <c r="A143" s="3" t="s">
        <v>418</v>
      </c>
      <c r="B143" s="19">
        <v>8903</v>
      </c>
      <c r="C143" s="8">
        <v>4401</v>
      </c>
      <c r="D143" s="8">
        <v>18</v>
      </c>
      <c r="E143" s="8" t="s">
        <v>14</v>
      </c>
      <c r="F143" s="4" t="s">
        <v>44</v>
      </c>
      <c r="G143" s="4" t="s">
        <v>12</v>
      </c>
      <c r="H143" s="10">
        <v>44781</v>
      </c>
      <c r="I143" s="4" t="s">
        <v>419</v>
      </c>
      <c r="J143" s="4" t="s">
        <v>22</v>
      </c>
      <c r="K143" s="4" t="s">
        <v>179</v>
      </c>
      <c r="L143" s="4" t="s">
        <v>67</v>
      </c>
    </row>
    <row r="144" spans="1:12">
      <c r="A144" s="3" t="s">
        <v>420</v>
      </c>
      <c r="B144" s="19">
        <v>8861</v>
      </c>
      <c r="C144" s="8">
        <v>3381</v>
      </c>
      <c r="D144" s="8">
        <v>19</v>
      </c>
      <c r="E144" s="8" t="s">
        <v>14</v>
      </c>
      <c r="F144" s="4" t="s">
        <v>40</v>
      </c>
      <c r="G144" s="4" t="s">
        <v>12</v>
      </c>
      <c r="H144" s="8" t="s">
        <v>421</v>
      </c>
      <c r="I144" s="4" t="s">
        <v>422</v>
      </c>
      <c r="J144" s="4" t="s">
        <v>7</v>
      </c>
      <c r="K144" s="4" t="s">
        <v>162</v>
      </c>
      <c r="L144" s="4" t="s">
        <v>52</v>
      </c>
    </row>
    <row r="145" spans="1:12">
      <c r="A145" s="5" t="s">
        <v>423</v>
      </c>
      <c r="B145" s="20">
        <v>8858</v>
      </c>
      <c r="C145" s="9">
        <v>3394</v>
      </c>
      <c r="D145" s="9">
        <v>6</v>
      </c>
      <c r="E145" s="9" t="s">
        <v>10</v>
      </c>
      <c r="F145" s="6" t="s">
        <v>30</v>
      </c>
      <c r="G145" s="6" t="s">
        <v>8</v>
      </c>
      <c r="H145" s="9" t="s">
        <v>424</v>
      </c>
      <c r="I145" s="6" t="s">
        <v>425</v>
      </c>
      <c r="J145" s="6" t="s">
        <v>7</v>
      </c>
      <c r="K145" s="6" t="s">
        <v>162</v>
      </c>
      <c r="L145" s="6" t="s">
        <v>93</v>
      </c>
    </row>
    <row r="146" spans="1:12">
      <c r="A146" s="3" t="s">
        <v>426</v>
      </c>
      <c r="B146" s="19">
        <v>8856</v>
      </c>
      <c r="C146" s="8">
        <v>2020</v>
      </c>
      <c r="D146" s="8">
        <v>9</v>
      </c>
      <c r="E146" s="8" t="s">
        <v>14</v>
      </c>
      <c r="F146" s="4" t="s">
        <v>44</v>
      </c>
      <c r="G146" s="4" t="s">
        <v>16</v>
      </c>
      <c r="H146" s="10">
        <v>45325</v>
      </c>
      <c r="I146" s="4" t="s">
        <v>427</v>
      </c>
      <c r="J146" s="4" t="s">
        <v>22</v>
      </c>
      <c r="K146" s="4" t="s">
        <v>117</v>
      </c>
      <c r="L146" s="4" t="s">
        <v>86</v>
      </c>
    </row>
    <row r="147" spans="1:12">
      <c r="A147" s="5" t="s">
        <v>426</v>
      </c>
      <c r="B147" s="20">
        <v>8856</v>
      </c>
      <c r="C147" s="9">
        <v>2020</v>
      </c>
      <c r="D147" s="9">
        <v>9</v>
      </c>
      <c r="E147" s="9" t="s">
        <v>14</v>
      </c>
      <c r="F147" s="6" t="s">
        <v>44</v>
      </c>
      <c r="G147" s="6" t="s">
        <v>16</v>
      </c>
      <c r="H147" s="9" t="s">
        <v>428</v>
      </c>
      <c r="I147" s="6" t="s">
        <v>429</v>
      </c>
      <c r="J147" s="6" t="s">
        <v>19</v>
      </c>
      <c r="K147" s="6" t="s">
        <v>108</v>
      </c>
      <c r="L147" s="6" t="s">
        <v>51</v>
      </c>
    </row>
    <row r="148" spans="1:12">
      <c r="A148" s="5" t="s">
        <v>430</v>
      </c>
      <c r="B148" s="20">
        <v>8851</v>
      </c>
      <c r="C148" s="9">
        <v>3962</v>
      </c>
      <c r="D148" s="9">
        <v>7</v>
      </c>
      <c r="E148" s="9" t="s">
        <v>10</v>
      </c>
      <c r="F148" s="6" t="s">
        <v>34</v>
      </c>
      <c r="G148" s="6" t="s">
        <v>20</v>
      </c>
      <c r="H148" s="9" t="s">
        <v>431</v>
      </c>
      <c r="I148" s="6" t="s">
        <v>432</v>
      </c>
      <c r="J148" s="6" t="s">
        <v>11</v>
      </c>
      <c r="K148" s="6" t="s">
        <v>156</v>
      </c>
      <c r="L148" s="6" t="s">
        <v>41</v>
      </c>
    </row>
    <row r="149" spans="1:12">
      <c r="A149" s="5" t="s">
        <v>433</v>
      </c>
      <c r="B149" s="20">
        <v>8851</v>
      </c>
      <c r="C149" s="9">
        <v>999</v>
      </c>
      <c r="D149" s="9">
        <v>12</v>
      </c>
      <c r="E149" s="9" t="s">
        <v>6</v>
      </c>
      <c r="F149" s="6" t="s">
        <v>17</v>
      </c>
      <c r="G149" s="6" t="s">
        <v>23</v>
      </c>
      <c r="H149" s="11">
        <v>45475</v>
      </c>
      <c r="I149" s="6" t="s">
        <v>434</v>
      </c>
      <c r="J149" s="6" t="s">
        <v>22</v>
      </c>
      <c r="K149" s="6" t="s">
        <v>223</v>
      </c>
      <c r="L149" s="6" t="s">
        <v>85</v>
      </c>
    </row>
    <row r="150" spans="1:12">
      <c r="A150" s="5" t="s">
        <v>435</v>
      </c>
      <c r="B150" s="20">
        <v>8850</v>
      </c>
      <c r="C150" s="9">
        <v>279</v>
      </c>
      <c r="D150" s="9">
        <v>13</v>
      </c>
      <c r="E150" s="9" t="s">
        <v>14</v>
      </c>
      <c r="F150" s="6" t="s">
        <v>40</v>
      </c>
      <c r="G150" s="6" t="s">
        <v>16</v>
      </c>
      <c r="H150" s="9" t="s">
        <v>436</v>
      </c>
      <c r="I150" s="6" t="s">
        <v>437</v>
      </c>
      <c r="J150" s="6" t="s">
        <v>11</v>
      </c>
      <c r="K150" s="6" t="s">
        <v>156</v>
      </c>
      <c r="L150" s="6" t="s">
        <v>89</v>
      </c>
    </row>
    <row r="151" spans="1:12">
      <c r="A151" s="5" t="s">
        <v>438</v>
      </c>
      <c r="B151" s="20">
        <v>8848</v>
      </c>
      <c r="C151" s="9">
        <v>2090</v>
      </c>
      <c r="D151" s="9">
        <v>9</v>
      </c>
      <c r="E151" s="9" t="s">
        <v>14</v>
      </c>
      <c r="F151" s="6" t="s">
        <v>44</v>
      </c>
      <c r="G151" s="6" t="s">
        <v>16</v>
      </c>
      <c r="H151" s="9" t="s">
        <v>439</v>
      </c>
      <c r="I151" s="6" t="s">
        <v>440</v>
      </c>
      <c r="J151" s="6" t="s">
        <v>7</v>
      </c>
      <c r="K151" s="6" t="s">
        <v>162</v>
      </c>
      <c r="L151" s="6" t="s">
        <v>96</v>
      </c>
    </row>
    <row r="152" spans="1:12">
      <c r="A152" s="5" t="s">
        <v>441</v>
      </c>
      <c r="B152" s="20">
        <v>8825</v>
      </c>
      <c r="C152" s="9">
        <v>3594</v>
      </c>
      <c r="D152" s="9">
        <v>15</v>
      </c>
      <c r="E152" s="9" t="s">
        <v>10</v>
      </c>
      <c r="F152" s="6" t="s">
        <v>34</v>
      </c>
      <c r="G152" s="6" t="s">
        <v>16</v>
      </c>
      <c r="H152" s="9" t="s">
        <v>442</v>
      </c>
      <c r="I152" s="6" t="s">
        <v>443</v>
      </c>
      <c r="J152" s="6" t="s">
        <v>19</v>
      </c>
      <c r="K152" s="6" t="s">
        <v>210</v>
      </c>
      <c r="L152" s="6" t="s">
        <v>90</v>
      </c>
    </row>
    <row r="153" spans="1:12">
      <c r="A153" s="5" t="s">
        <v>352</v>
      </c>
      <c r="B153" s="20">
        <v>8797</v>
      </c>
      <c r="C153" s="9">
        <v>1010</v>
      </c>
      <c r="D153" s="9">
        <v>8</v>
      </c>
      <c r="E153" s="9" t="s">
        <v>10</v>
      </c>
      <c r="F153" s="6" t="s">
        <v>34</v>
      </c>
      <c r="G153" s="6" t="s">
        <v>23</v>
      </c>
      <c r="H153" s="11">
        <v>44622</v>
      </c>
      <c r="I153" s="6" t="s">
        <v>353</v>
      </c>
      <c r="J153" s="6" t="s">
        <v>25</v>
      </c>
      <c r="K153" s="6" t="s">
        <v>111</v>
      </c>
      <c r="L153" s="6" t="s">
        <v>61</v>
      </c>
    </row>
    <row r="154" spans="1:12">
      <c r="A154" s="3" t="s">
        <v>352</v>
      </c>
      <c r="B154" s="19">
        <v>8797</v>
      </c>
      <c r="C154" s="8">
        <v>1010</v>
      </c>
      <c r="D154" s="8">
        <v>8</v>
      </c>
      <c r="E154" s="8" t="s">
        <v>10</v>
      </c>
      <c r="F154" s="4" t="s">
        <v>34</v>
      </c>
      <c r="G154" s="4" t="s">
        <v>23</v>
      </c>
      <c r="H154" s="10">
        <v>44542</v>
      </c>
      <c r="I154" s="4" t="s">
        <v>354</v>
      </c>
      <c r="J154" s="4" t="s">
        <v>7</v>
      </c>
      <c r="K154" s="4" t="s">
        <v>162</v>
      </c>
      <c r="L154" s="4" t="s">
        <v>59</v>
      </c>
    </row>
    <row r="155" spans="1:12">
      <c r="A155" s="3" t="s">
        <v>444</v>
      </c>
      <c r="B155" s="19">
        <v>8793</v>
      </c>
      <c r="C155" s="8">
        <v>3010</v>
      </c>
      <c r="D155" s="8">
        <v>7</v>
      </c>
      <c r="E155" s="8" t="s">
        <v>14</v>
      </c>
      <c r="F155" s="4" t="s">
        <v>44</v>
      </c>
      <c r="G155" s="4" t="s">
        <v>8</v>
      </c>
      <c r="H155" s="8" t="s">
        <v>445</v>
      </c>
      <c r="I155" s="4" t="s">
        <v>446</v>
      </c>
      <c r="J155" s="4" t="s">
        <v>15</v>
      </c>
      <c r="K155" s="4" t="s">
        <v>132</v>
      </c>
      <c r="L155" s="4" t="s">
        <v>88</v>
      </c>
    </row>
    <row r="156" spans="1:12">
      <c r="A156" s="3" t="s">
        <v>447</v>
      </c>
      <c r="B156" s="19">
        <v>8788</v>
      </c>
      <c r="C156" s="8">
        <v>3944</v>
      </c>
      <c r="D156" s="8">
        <v>19</v>
      </c>
      <c r="E156" s="8" t="s">
        <v>14</v>
      </c>
      <c r="F156" s="4" t="s">
        <v>42</v>
      </c>
      <c r="G156" s="4" t="s">
        <v>20</v>
      </c>
      <c r="H156" s="8" t="s">
        <v>448</v>
      </c>
      <c r="I156" s="4" t="s">
        <v>449</v>
      </c>
      <c r="J156" s="4" t="s">
        <v>19</v>
      </c>
      <c r="K156" s="4" t="s">
        <v>210</v>
      </c>
      <c r="L156" s="4" t="s">
        <v>73</v>
      </c>
    </row>
    <row r="157" spans="1:12">
      <c r="A157" s="3" t="s">
        <v>450</v>
      </c>
      <c r="B157" s="19">
        <v>8780</v>
      </c>
      <c r="C157" s="8">
        <v>3430</v>
      </c>
      <c r="D157" s="8">
        <v>4</v>
      </c>
      <c r="E157" s="8" t="s">
        <v>6</v>
      </c>
      <c r="F157" s="4" t="s">
        <v>13</v>
      </c>
      <c r="G157" s="4" t="s">
        <v>12</v>
      </c>
      <c r="H157" s="10">
        <v>45480</v>
      </c>
      <c r="I157" s="4" t="s">
        <v>451</v>
      </c>
      <c r="J157" s="4" t="s">
        <v>25</v>
      </c>
      <c r="K157" s="4" t="s">
        <v>111</v>
      </c>
      <c r="L157" s="4" t="s">
        <v>90</v>
      </c>
    </row>
    <row r="158" spans="1:12">
      <c r="A158" s="5" t="s">
        <v>450</v>
      </c>
      <c r="B158" s="20">
        <v>8780</v>
      </c>
      <c r="C158" s="9">
        <v>3430</v>
      </c>
      <c r="D158" s="9">
        <v>4</v>
      </c>
      <c r="E158" s="9" t="s">
        <v>6</v>
      </c>
      <c r="F158" s="6" t="s">
        <v>13</v>
      </c>
      <c r="G158" s="6" t="s">
        <v>12</v>
      </c>
      <c r="H158" s="9" t="s">
        <v>452</v>
      </c>
      <c r="I158" s="6" t="s">
        <v>453</v>
      </c>
      <c r="J158" s="6" t="s">
        <v>25</v>
      </c>
      <c r="K158" s="6" t="s">
        <v>111</v>
      </c>
      <c r="L158" s="6" t="s">
        <v>78</v>
      </c>
    </row>
    <row r="159" spans="1:12">
      <c r="A159" s="3" t="s">
        <v>454</v>
      </c>
      <c r="B159" s="19">
        <v>8776</v>
      </c>
      <c r="C159" s="8">
        <v>2529</v>
      </c>
      <c r="D159" s="8">
        <v>15</v>
      </c>
      <c r="E159" s="8" t="s">
        <v>10</v>
      </c>
      <c r="F159" s="4" t="s">
        <v>32</v>
      </c>
      <c r="G159" s="4" t="s">
        <v>12</v>
      </c>
      <c r="H159" s="8" t="s">
        <v>455</v>
      </c>
      <c r="I159" s="4" t="s">
        <v>456</v>
      </c>
      <c r="J159" s="4" t="s">
        <v>22</v>
      </c>
      <c r="K159" s="4" t="s">
        <v>179</v>
      </c>
      <c r="L159" s="4" t="s">
        <v>86</v>
      </c>
    </row>
    <row r="160" spans="1:12">
      <c r="A160" s="3" t="s">
        <v>457</v>
      </c>
      <c r="B160" s="19">
        <v>8769</v>
      </c>
      <c r="C160" s="8">
        <v>1989</v>
      </c>
      <c r="D160" s="8">
        <v>20</v>
      </c>
      <c r="E160" s="8" t="s">
        <v>14</v>
      </c>
      <c r="F160" s="4" t="s">
        <v>42</v>
      </c>
      <c r="G160" s="4" t="s">
        <v>23</v>
      </c>
      <c r="H160" s="10">
        <v>43901</v>
      </c>
      <c r="I160" s="4" t="s">
        <v>458</v>
      </c>
      <c r="J160" s="4" t="s">
        <v>15</v>
      </c>
      <c r="K160" s="4" t="s">
        <v>132</v>
      </c>
      <c r="L160" s="4" t="s">
        <v>45</v>
      </c>
    </row>
    <row r="161" spans="1:12">
      <c r="A161" s="5" t="s">
        <v>459</v>
      </c>
      <c r="B161" s="20">
        <v>8769</v>
      </c>
      <c r="C161" s="9">
        <v>3178</v>
      </c>
      <c r="D161" s="9">
        <v>16</v>
      </c>
      <c r="E161" s="9" t="s">
        <v>14</v>
      </c>
      <c r="F161" s="6" t="s">
        <v>40</v>
      </c>
      <c r="G161" s="6" t="s">
        <v>16</v>
      </c>
      <c r="H161" s="9" t="s">
        <v>460</v>
      </c>
      <c r="I161" s="6" t="s">
        <v>461</v>
      </c>
      <c r="J161" s="6" t="s">
        <v>15</v>
      </c>
      <c r="K161" s="6" t="s">
        <v>132</v>
      </c>
      <c r="L161" s="6" t="s">
        <v>72</v>
      </c>
    </row>
    <row r="162" spans="1:12">
      <c r="A162" s="5" t="s">
        <v>462</v>
      </c>
      <c r="B162" s="20">
        <v>8762</v>
      </c>
      <c r="C162" s="9">
        <v>3502</v>
      </c>
      <c r="D162" s="9">
        <v>1</v>
      </c>
      <c r="E162" s="9" t="s">
        <v>6</v>
      </c>
      <c r="F162" s="6" t="s">
        <v>21</v>
      </c>
      <c r="G162" s="6" t="s">
        <v>16</v>
      </c>
      <c r="H162" s="9" t="s">
        <v>463</v>
      </c>
      <c r="I162" s="6" t="s">
        <v>464</v>
      </c>
      <c r="J162" s="6" t="s">
        <v>11</v>
      </c>
      <c r="K162" s="6" t="s">
        <v>136</v>
      </c>
      <c r="L162" s="6" t="s">
        <v>55</v>
      </c>
    </row>
    <row r="163" spans="1:12">
      <c r="A163" s="5" t="s">
        <v>465</v>
      </c>
      <c r="B163" s="20">
        <v>8752</v>
      </c>
      <c r="C163" s="9">
        <v>1686</v>
      </c>
      <c r="D163" s="9">
        <v>9</v>
      </c>
      <c r="E163" s="9" t="s">
        <v>10</v>
      </c>
      <c r="F163" s="6" t="s">
        <v>34</v>
      </c>
      <c r="G163" s="6" t="s">
        <v>16</v>
      </c>
      <c r="H163" s="9" t="s">
        <v>466</v>
      </c>
      <c r="I163" s="6" t="s">
        <v>467</v>
      </c>
      <c r="J163" s="6" t="s">
        <v>22</v>
      </c>
      <c r="K163" s="6" t="s">
        <v>223</v>
      </c>
      <c r="L163" s="6" t="s">
        <v>47</v>
      </c>
    </row>
    <row r="164" spans="1:12">
      <c r="A164" s="3" t="s">
        <v>465</v>
      </c>
      <c r="B164" s="19">
        <v>8752</v>
      </c>
      <c r="C164" s="8">
        <v>1686</v>
      </c>
      <c r="D164" s="8">
        <v>9</v>
      </c>
      <c r="E164" s="8" t="s">
        <v>10</v>
      </c>
      <c r="F164" s="4" t="s">
        <v>34</v>
      </c>
      <c r="G164" s="4" t="s">
        <v>16</v>
      </c>
      <c r="H164" s="10">
        <v>45025</v>
      </c>
      <c r="I164" s="4" t="s">
        <v>468</v>
      </c>
      <c r="J164" s="4" t="s">
        <v>15</v>
      </c>
      <c r="K164" s="4" t="s">
        <v>235</v>
      </c>
      <c r="L164" s="4" t="s">
        <v>80</v>
      </c>
    </row>
    <row r="165" spans="1:12">
      <c r="A165" s="5" t="s">
        <v>465</v>
      </c>
      <c r="B165" s="20">
        <v>8752</v>
      </c>
      <c r="C165" s="9">
        <v>1686</v>
      </c>
      <c r="D165" s="9">
        <v>9</v>
      </c>
      <c r="E165" s="9" t="s">
        <v>10</v>
      </c>
      <c r="F165" s="6" t="s">
        <v>34</v>
      </c>
      <c r="G165" s="6" t="s">
        <v>16</v>
      </c>
      <c r="H165" s="11">
        <v>44774</v>
      </c>
      <c r="I165" s="6" t="s">
        <v>469</v>
      </c>
      <c r="J165" s="6" t="s">
        <v>15</v>
      </c>
      <c r="K165" s="6" t="s">
        <v>132</v>
      </c>
      <c r="L165" s="6" t="s">
        <v>60</v>
      </c>
    </row>
    <row r="166" spans="1:12">
      <c r="A166" s="5" t="s">
        <v>470</v>
      </c>
      <c r="B166" s="20">
        <v>8709</v>
      </c>
      <c r="C166" s="9">
        <v>2322</v>
      </c>
      <c r="D166" s="9">
        <v>8</v>
      </c>
      <c r="E166" s="9" t="s">
        <v>10</v>
      </c>
      <c r="F166" s="6" t="s">
        <v>34</v>
      </c>
      <c r="G166" s="6" t="s">
        <v>16</v>
      </c>
      <c r="H166" s="11">
        <v>45327</v>
      </c>
      <c r="I166" s="6" t="s">
        <v>471</v>
      </c>
      <c r="J166" s="6" t="s">
        <v>25</v>
      </c>
      <c r="K166" s="6" t="s">
        <v>111</v>
      </c>
      <c r="L166" s="6" t="s">
        <v>88</v>
      </c>
    </row>
    <row r="167" spans="1:12">
      <c r="A167" s="3" t="s">
        <v>470</v>
      </c>
      <c r="B167" s="19">
        <v>8709</v>
      </c>
      <c r="C167" s="8">
        <v>2322</v>
      </c>
      <c r="D167" s="8">
        <v>8</v>
      </c>
      <c r="E167" s="8" t="s">
        <v>10</v>
      </c>
      <c r="F167" s="4" t="s">
        <v>34</v>
      </c>
      <c r="G167" s="4" t="s">
        <v>16</v>
      </c>
      <c r="H167" s="8" t="s">
        <v>472</v>
      </c>
      <c r="I167" s="4" t="s">
        <v>473</v>
      </c>
      <c r="J167" s="4" t="s">
        <v>7</v>
      </c>
      <c r="K167" s="4" t="s">
        <v>124</v>
      </c>
      <c r="L167" s="4" t="s">
        <v>94</v>
      </c>
    </row>
    <row r="168" spans="1:12">
      <c r="A168" s="5" t="s">
        <v>474</v>
      </c>
      <c r="B168" s="20">
        <v>8706</v>
      </c>
      <c r="C168" s="9">
        <v>3099</v>
      </c>
      <c r="D168" s="9">
        <v>14</v>
      </c>
      <c r="E168" s="9" t="s">
        <v>14</v>
      </c>
      <c r="F168" s="6" t="s">
        <v>44</v>
      </c>
      <c r="G168" s="6" t="s">
        <v>12</v>
      </c>
      <c r="H168" s="9" t="s">
        <v>475</v>
      </c>
      <c r="I168" s="6" t="s">
        <v>476</v>
      </c>
      <c r="J168" s="6" t="s">
        <v>15</v>
      </c>
      <c r="K168" s="6" t="s">
        <v>132</v>
      </c>
      <c r="L168" s="6" t="s">
        <v>65</v>
      </c>
    </row>
    <row r="169" spans="1:12">
      <c r="A169" s="3" t="s">
        <v>477</v>
      </c>
      <c r="B169" s="19">
        <v>8706</v>
      </c>
      <c r="C169" s="8">
        <v>1724</v>
      </c>
      <c r="D169" s="8">
        <v>3</v>
      </c>
      <c r="E169" s="8" t="s">
        <v>6</v>
      </c>
      <c r="F169" s="4" t="s">
        <v>13</v>
      </c>
      <c r="G169" s="4" t="s">
        <v>16</v>
      </c>
      <c r="H169" s="8" t="s">
        <v>478</v>
      </c>
      <c r="I169" s="4" t="s">
        <v>479</v>
      </c>
      <c r="J169" s="4" t="s">
        <v>11</v>
      </c>
      <c r="K169" s="4" t="s">
        <v>120</v>
      </c>
      <c r="L169" s="4" t="s">
        <v>31</v>
      </c>
    </row>
    <row r="170" spans="1:12">
      <c r="A170" s="3" t="s">
        <v>480</v>
      </c>
      <c r="B170" s="19">
        <v>8681</v>
      </c>
      <c r="C170" s="8">
        <v>2458</v>
      </c>
      <c r="D170" s="8">
        <v>9</v>
      </c>
      <c r="E170" s="8" t="s">
        <v>14</v>
      </c>
      <c r="F170" s="4" t="s">
        <v>44</v>
      </c>
      <c r="G170" s="4" t="s">
        <v>12</v>
      </c>
      <c r="H170" s="10">
        <v>43839</v>
      </c>
      <c r="I170" s="4" t="s">
        <v>481</v>
      </c>
      <c r="J170" s="4" t="s">
        <v>19</v>
      </c>
      <c r="K170" s="4" t="s">
        <v>210</v>
      </c>
      <c r="L170" s="4" t="s">
        <v>41</v>
      </c>
    </row>
    <row r="171" spans="1:12">
      <c r="A171" s="3" t="s">
        <v>326</v>
      </c>
      <c r="B171" s="19">
        <v>8680</v>
      </c>
      <c r="C171" s="8">
        <v>4068</v>
      </c>
      <c r="D171" s="8">
        <v>20</v>
      </c>
      <c r="E171" s="8" t="s">
        <v>6</v>
      </c>
      <c r="F171" s="4" t="s">
        <v>24</v>
      </c>
      <c r="G171" s="4" t="s">
        <v>12</v>
      </c>
      <c r="H171" s="8" t="s">
        <v>327</v>
      </c>
      <c r="I171" s="4" t="s">
        <v>328</v>
      </c>
      <c r="J171" s="4" t="s">
        <v>11</v>
      </c>
      <c r="K171" s="4" t="s">
        <v>120</v>
      </c>
      <c r="L171" s="4" t="s">
        <v>80</v>
      </c>
    </row>
    <row r="172" spans="1:12">
      <c r="A172" s="5" t="s">
        <v>326</v>
      </c>
      <c r="B172" s="20">
        <v>8680</v>
      </c>
      <c r="C172" s="9">
        <v>4068</v>
      </c>
      <c r="D172" s="9">
        <v>20</v>
      </c>
      <c r="E172" s="9" t="s">
        <v>6</v>
      </c>
      <c r="F172" s="6" t="s">
        <v>24</v>
      </c>
      <c r="G172" s="6" t="s">
        <v>12</v>
      </c>
      <c r="H172" s="9" t="s">
        <v>329</v>
      </c>
      <c r="I172" s="6" t="s">
        <v>330</v>
      </c>
      <c r="J172" s="6" t="s">
        <v>19</v>
      </c>
      <c r="K172" s="6" t="s">
        <v>210</v>
      </c>
      <c r="L172" s="6" t="s">
        <v>96</v>
      </c>
    </row>
    <row r="173" spans="1:12">
      <c r="A173" s="3" t="s">
        <v>435</v>
      </c>
      <c r="B173" s="19">
        <v>8667</v>
      </c>
      <c r="C173" s="8">
        <v>1266</v>
      </c>
      <c r="D173" s="8">
        <v>6</v>
      </c>
      <c r="E173" s="8" t="s">
        <v>14</v>
      </c>
      <c r="F173" s="4" t="s">
        <v>42</v>
      </c>
      <c r="G173" s="4" t="s">
        <v>16</v>
      </c>
      <c r="H173" s="8" t="s">
        <v>436</v>
      </c>
      <c r="I173" s="4" t="s">
        <v>437</v>
      </c>
      <c r="J173" s="4" t="s">
        <v>11</v>
      </c>
      <c r="K173" s="4" t="s">
        <v>156</v>
      </c>
      <c r="L173" s="4" t="s">
        <v>89</v>
      </c>
    </row>
    <row r="174" spans="1:12">
      <c r="A174" s="5" t="s">
        <v>482</v>
      </c>
      <c r="B174" s="20">
        <v>8649</v>
      </c>
      <c r="C174" s="9">
        <v>2631</v>
      </c>
      <c r="D174" s="9">
        <v>13</v>
      </c>
      <c r="E174" s="9" t="s">
        <v>6</v>
      </c>
      <c r="F174" s="6" t="s">
        <v>17</v>
      </c>
      <c r="G174" s="6" t="s">
        <v>20</v>
      </c>
      <c r="H174" s="11">
        <v>45566</v>
      </c>
      <c r="I174" s="6" t="s">
        <v>483</v>
      </c>
      <c r="J174" s="6" t="s">
        <v>7</v>
      </c>
      <c r="K174" s="6" t="s">
        <v>124</v>
      </c>
      <c r="L174" s="6" t="s">
        <v>84</v>
      </c>
    </row>
    <row r="175" spans="1:12">
      <c r="A175" s="3" t="s">
        <v>482</v>
      </c>
      <c r="B175" s="19">
        <v>8649</v>
      </c>
      <c r="C175" s="8">
        <v>2631</v>
      </c>
      <c r="D175" s="8">
        <v>13</v>
      </c>
      <c r="E175" s="8" t="s">
        <v>6</v>
      </c>
      <c r="F175" s="4" t="s">
        <v>17</v>
      </c>
      <c r="G175" s="4" t="s">
        <v>20</v>
      </c>
      <c r="H175" s="8" t="s">
        <v>484</v>
      </c>
      <c r="I175" s="4" t="s">
        <v>485</v>
      </c>
      <c r="J175" s="4" t="s">
        <v>19</v>
      </c>
      <c r="K175" s="4" t="s">
        <v>108</v>
      </c>
      <c r="L175" s="4" t="s">
        <v>41</v>
      </c>
    </row>
    <row r="176" spans="1:12">
      <c r="A176" s="3" t="s">
        <v>486</v>
      </c>
      <c r="B176" s="19">
        <v>8644</v>
      </c>
      <c r="C176" s="8">
        <v>1968</v>
      </c>
      <c r="D176" s="8">
        <v>9</v>
      </c>
      <c r="E176" s="8" t="s">
        <v>14</v>
      </c>
      <c r="F176" s="4" t="s">
        <v>42</v>
      </c>
      <c r="G176" s="4" t="s">
        <v>16</v>
      </c>
      <c r="H176" s="8" t="s">
        <v>487</v>
      </c>
      <c r="I176" s="4" t="s">
        <v>488</v>
      </c>
      <c r="J176" s="4" t="s">
        <v>15</v>
      </c>
      <c r="K176" s="4" t="s">
        <v>132</v>
      </c>
      <c r="L176" s="4" t="s">
        <v>82</v>
      </c>
    </row>
    <row r="177" spans="1:12">
      <c r="A177" s="5" t="s">
        <v>489</v>
      </c>
      <c r="B177" s="20">
        <v>8639</v>
      </c>
      <c r="C177" s="9">
        <v>3104</v>
      </c>
      <c r="D177" s="9">
        <v>19</v>
      </c>
      <c r="E177" s="9" t="s">
        <v>14</v>
      </c>
      <c r="F177" s="6" t="s">
        <v>44</v>
      </c>
      <c r="G177" s="6" t="s">
        <v>20</v>
      </c>
      <c r="H177" s="11">
        <v>45933</v>
      </c>
      <c r="I177" s="6" t="s">
        <v>490</v>
      </c>
      <c r="J177" s="6" t="s">
        <v>19</v>
      </c>
      <c r="K177" s="6" t="s">
        <v>126</v>
      </c>
      <c r="L177" s="6" t="s">
        <v>98</v>
      </c>
    </row>
    <row r="178" spans="1:12">
      <c r="A178" s="3" t="s">
        <v>489</v>
      </c>
      <c r="B178" s="19">
        <v>8639</v>
      </c>
      <c r="C178" s="8">
        <v>3104</v>
      </c>
      <c r="D178" s="8">
        <v>19</v>
      </c>
      <c r="E178" s="8" t="s">
        <v>14</v>
      </c>
      <c r="F178" s="4" t="s">
        <v>44</v>
      </c>
      <c r="G178" s="4" t="s">
        <v>20</v>
      </c>
      <c r="H178" s="8" t="s">
        <v>491</v>
      </c>
      <c r="I178" s="4" t="s">
        <v>492</v>
      </c>
      <c r="J178" s="4" t="s">
        <v>22</v>
      </c>
      <c r="K178" s="4" t="s">
        <v>117</v>
      </c>
      <c r="L178" s="4" t="s">
        <v>92</v>
      </c>
    </row>
    <row r="179" spans="1:12">
      <c r="A179" s="3" t="s">
        <v>493</v>
      </c>
      <c r="B179" s="19">
        <v>8636</v>
      </c>
      <c r="C179" s="8">
        <v>3192</v>
      </c>
      <c r="D179" s="8">
        <v>3</v>
      </c>
      <c r="E179" s="8" t="s">
        <v>10</v>
      </c>
      <c r="F179" s="4" t="s">
        <v>30</v>
      </c>
      <c r="G179" s="4" t="s">
        <v>8</v>
      </c>
      <c r="H179" s="8" t="s">
        <v>494</v>
      </c>
      <c r="I179" s="4" t="s">
        <v>495</v>
      </c>
      <c r="J179" s="4" t="s">
        <v>11</v>
      </c>
      <c r="K179" s="4" t="s">
        <v>120</v>
      </c>
      <c r="L179" s="4" t="s">
        <v>61</v>
      </c>
    </row>
    <row r="180" spans="1:12">
      <c r="A180" s="5" t="s">
        <v>493</v>
      </c>
      <c r="B180" s="20">
        <v>8636</v>
      </c>
      <c r="C180" s="9">
        <v>3192</v>
      </c>
      <c r="D180" s="9">
        <v>3</v>
      </c>
      <c r="E180" s="9" t="s">
        <v>10</v>
      </c>
      <c r="F180" s="6" t="s">
        <v>30</v>
      </c>
      <c r="G180" s="6" t="s">
        <v>8</v>
      </c>
      <c r="H180" s="11">
        <v>44320</v>
      </c>
      <c r="I180" s="6" t="s">
        <v>496</v>
      </c>
      <c r="J180" s="6" t="s">
        <v>25</v>
      </c>
      <c r="K180" s="6" t="s">
        <v>253</v>
      </c>
      <c r="L180" s="6" t="s">
        <v>51</v>
      </c>
    </row>
    <row r="181" spans="1:12">
      <c r="A181" s="3" t="s">
        <v>497</v>
      </c>
      <c r="B181" s="19">
        <v>8590</v>
      </c>
      <c r="C181" s="8">
        <v>3565</v>
      </c>
      <c r="D181" s="8">
        <v>15</v>
      </c>
      <c r="E181" s="8" t="s">
        <v>6</v>
      </c>
      <c r="F181" s="4" t="s">
        <v>13</v>
      </c>
      <c r="G181" s="4" t="s">
        <v>20</v>
      </c>
      <c r="H181" s="10">
        <v>44511</v>
      </c>
      <c r="I181" s="4" t="s">
        <v>498</v>
      </c>
      <c r="J181" s="4" t="s">
        <v>11</v>
      </c>
      <c r="K181" s="4" t="s">
        <v>156</v>
      </c>
      <c r="L181" s="4" t="s">
        <v>58</v>
      </c>
    </row>
    <row r="182" spans="1:12">
      <c r="A182" s="5" t="s">
        <v>499</v>
      </c>
      <c r="B182" s="20">
        <v>8586</v>
      </c>
      <c r="C182" s="9">
        <v>3826</v>
      </c>
      <c r="D182" s="9">
        <v>7</v>
      </c>
      <c r="E182" s="9" t="s">
        <v>10</v>
      </c>
      <c r="F182" s="6" t="s">
        <v>28</v>
      </c>
      <c r="G182" s="6" t="s">
        <v>23</v>
      </c>
      <c r="H182" s="9" t="s">
        <v>500</v>
      </c>
      <c r="I182" s="6" t="s">
        <v>501</v>
      </c>
      <c r="J182" s="6" t="s">
        <v>11</v>
      </c>
      <c r="K182" s="6" t="s">
        <v>156</v>
      </c>
      <c r="L182" s="6" t="s">
        <v>47</v>
      </c>
    </row>
    <row r="183" spans="1:12">
      <c r="A183" s="3" t="s">
        <v>499</v>
      </c>
      <c r="B183" s="19">
        <v>8586</v>
      </c>
      <c r="C183" s="8">
        <v>3826</v>
      </c>
      <c r="D183" s="8">
        <v>7</v>
      </c>
      <c r="E183" s="8" t="s">
        <v>10</v>
      </c>
      <c r="F183" s="4" t="s">
        <v>28</v>
      </c>
      <c r="G183" s="4" t="s">
        <v>23</v>
      </c>
      <c r="H183" s="10">
        <v>45114</v>
      </c>
      <c r="I183" s="4" t="s">
        <v>502</v>
      </c>
      <c r="J183" s="4" t="s">
        <v>11</v>
      </c>
      <c r="K183" s="4" t="s">
        <v>136</v>
      </c>
      <c r="L183" s="4" t="s">
        <v>78</v>
      </c>
    </row>
    <row r="184" spans="1:12">
      <c r="A184" s="3" t="s">
        <v>503</v>
      </c>
      <c r="B184" s="19">
        <v>8581</v>
      </c>
      <c r="C184" s="8">
        <v>2444</v>
      </c>
      <c r="D184" s="8">
        <v>2</v>
      </c>
      <c r="E184" s="8" t="s">
        <v>14</v>
      </c>
      <c r="F184" s="4" t="s">
        <v>42</v>
      </c>
      <c r="G184" s="4" t="s">
        <v>16</v>
      </c>
      <c r="H184" s="8" t="s">
        <v>504</v>
      </c>
      <c r="I184" s="4" t="s">
        <v>505</v>
      </c>
      <c r="J184" s="4" t="s">
        <v>15</v>
      </c>
      <c r="K184" s="4" t="s">
        <v>235</v>
      </c>
      <c r="L184" s="4" t="s">
        <v>47</v>
      </c>
    </row>
    <row r="185" spans="1:12">
      <c r="A185" s="5" t="s">
        <v>503</v>
      </c>
      <c r="B185" s="20">
        <v>8581</v>
      </c>
      <c r="C185" s="9">
        <v>2444</v>
      </c>
      <c r="D185" s="9">
        <v>2</v>
      </c>
      <c r="E185" s="9" t="s">
        <v>14</v>
      </c>
      <c r="F185" s="6" t="s">
        <v>42</v>
      </c>
      <c r="G185" s="6" t="s">
        <v>16</v>
      </c>
      <c r="H185" s="9" t="s">
        <v>506</v>
      </c>
      <c r="I185" s="6" t="s">
        <v>507</v>
      </c>
      <c r="J185" s="6" t="s">
        <v>11</v>
      </c>
      <c r="K185" s="6" t="s">
        <v>120</v>
      </c>
      <c r="L185" s="6" t="s">
        <v>45</v>
      </c>
    </row>
    <row r="186" spans="1:12">
      <c r="A186" s="3" t="s">
        <v>508</v>
      </c>
      <c r="B186" s="19">
        <v>8572</v>
      </c>
      <c r="C186" s="8">
        <v>2041</v>
      </c>
      <c r="D186" s="8">
        <v>8</v>
      </c>
      <c r="E186" s="8" t="s">
        <v>10</v>
      </c>
      <c r="F186" s="4" t="s">
        <v>34</v>
      </c>
      <c r="G186" s="4" t="s">
        <v>20</v>
      </c>
      <c r="H186" s="8" t="s">
        <v>421</v>
      </c>
      <c r="I186" s="4" t="s">
        <v>509</v>
      </c>
      <c r="J186" s="4" t="s">
        <v>15</v>
      </c>
      <c r="K186" s="4" t="s">
        <v>171</v>
      </c>
      <c r="L186" s="4" t="s">
        <v>52</v>
      </c>
    </row>
    <row r="187" spans="1:12">
      <c r="A187" s="5" t="s">
        <v>508</v>
      </c>
      <c r="B187" s="20">
        <v>8572</v>
      </c>
      <c r="C187" s="9">
        <v>2041</v>
      </c>
      <c r="D187" s="9">
        <v>8</v>
      </c>
      <c r="E187" s="9" t="s">
        <v>10</v>
      </c>
      <c r="F187" s="6" t="s">
        <v>34</v>
      </c>
      <c r="G187" s="6" t="s">
        <v>20</v>
      </c>
      <c r="H187" s="11">
        <v>45053</v>
      </c>
      <c r="I187" s="6" t="s">
        <v>510</v>
      </c>
      <c r="J187" s="6" t="s">
        <v>15</v>
      </c>
      <c r="K187" s="6" t="s">
        <v>171</v>
      </c>
      <c r="L187" s="6" t="s">
        <v>78</v>
      </c>
    </row>
    <row r="188" spans="1:12">
      <c r="A188" s="3" t="s">
        <v>508</v>
      </c>
      <c r="B188" s="19">
        <v>8572</v>
      </c>
      <c r="C188" s="8">
        <v>2041</v>
      </c>
      <c r="D188" s="8">
        <v>8</v>
      </c>
      <c r="E188" s="8" t="s">
        <v>10</v>
      </c>
      <c r="F188" s="4" t="s">
        <v>34</v>
      </c>
      <c r="G188" s="4" t="s">
        <v>20</v>
      </c>
      <c r="H188" s="8" t="s">
        <v>511</v>
      </c>
      <c r="I188" s="4" t="s">
        <v>512</v>
      </c>
      <c r="J188" s="4" t="s">
        <v>7</v>
      </c>
      <c r="K188" s="4" t="s">
        <v>162</v>
      </c>
      <c r="L188" s="4" t="s">
        <v>43</v>
      </c>
    </row>
    <row r="189" spans="1:12">
      <c r="A189" s="3" t="s">
        <v>513</v>
      </c>
      <c r="B189" s="19">
        <v>8568</v>
      </c>
      <c r="C189" s="8">
        <v>2419</v>
      </c>
      <c r="D189" s="8">
        <v>11</v>
      </c>
      <c r="E189" s="8" t="s">
        <v>6</v>
      </c>
      <c r="F189" s="4" t="s">
        <v>13</v>
      </c>
      <c r="G189" s="4" t="s">
        <v>23</v>
      </c>
      <c r="H189" s="8" t="s">
        <v>514</v>
      </c>
      <c r="I189" s="4" t="s">
        <v>515</v>
      </c>
      <c r="J189" s="4" t="s">
        <v>19</v>
      </c>
      <c r="K189" s="4" t="s">
        <v>108</v>
      </c>
      <c r="L189" s="4" t="s">
        <v>57</v>
      </c>
    </row>
    <row r="190" spans="1:12">
      <c r="A190" s="5" t="s">
        <v>516</v>
      </c>
      <c r="B190" s="20">
        <v>8563</v>
      </c>
      <c r="C190" s="9">
        <v>2624</v>
      </c>
      <c r="D190" s="9">
        <v>8</v>
      </c>
      <c r="E190" s="9" t="s">
        <v>14</v>
      </c>
      <c r="F190" s="6" t="s">
        <v>38</v>
      </c>
      <c r="G190" s="6" t="s">
        <v>8</v>
      </c>
      <c r="H190" s="11">
        <v>45576</v>
      </c>
      <c r="I190" s="6" t="s">
        <v>517</v>
      </c>
      <c r="J190" s="6" t="s">
        <v>25</v>
      </c>
      <c r="K190" s="6" t="s">
        <v>129</v>
      </c>
      <c r="L190" s="6" t="s">
        <v>94</v>
      </c>
    </row>
    <row r="191" spans="1:12">
      <c r="A191" s="3" t="s">
        <v>518</v>
      </c>
      <c r="B191" s="19">
        <v>8560</v>
      </c>
      <c r="C191" s="8">
        <v>2166</v>
      </c>
      <c r="D191" s="8">
        <v>19</v>
      </c>
      <c r="E191" s="8" t="s">
        <v>14</v>
      </c>
      <c r="F191" s="4" t="s">
        <v>38</v>
      </c>
      <c r="G191" s="4" t="s">
        <v>20</v>
      </c>
      <c r="H191" s="8" t="s">
        <v>519</v>
      </c>
      <c r="I191" s="4" t="s">
        <v>520</v>
      </c>
      <c r="J191" s="4" t="s">
        <v>11</v>
      </c>
      <c r="K191" s="4" t="s">
        <v>136</v>
      </c>
      <c r="L191" s="4" t="s">
        <v>64</v>
      </c>
    </row>
    <row r="192" spans="1:12">
      <c r="A192" s="3" t="s">
        <v>323</v>
      </c>
      <c r="B192" s="19">
        <v>8558</v>
      </c>
      <c r="C192" s="8">
        <v>1644</v>
      </c>
      <c r="D192" s="8">
        <v>18</v>
      </c>
      <c r="E192" s="8" t="s">
        <v>14</v>
      </c>
      <c r="F192" s="4" t="s">
        <v>38</v>
      </c>
      <c r="G192" s="4" t="s">
        <v>12</v>
      </c>
      <c r="H192" s="8" t="s">
        <v>324</v>
      </c>
      <c r="I192" s="4" t="s">
        <v>325</v>
      </c>
      <c r="J192" s="4" t="s">
        <v>19</v>
      </c>
      <c r="K192" s="4" t="s">
        <v>108</v>
      </c>
      <c r="L192" s="4" t="s">
        <v>88</v>
      </c>
    </row>
    <row r="193" spans="1:12">
      <c r="A193" s="5" t="s">
        <v>521</v>
      </c>
      <c r="B193" s="20">
        <v>8555</v>
      </c>
      <c r="C193" s="9">
        <v>1638</v>
      </c>
      <c r="D193" s="9">
        <v>8</v>
      </c>
      <c r="E193" s="9" t="s">
        <v>6</v>
      </c>
      <c r="F193" s="6" t="s">
        <v>17</v>
      </c>
      <c r="G193" s="6" t="s">
        <v>12</v>
      </c>
      <c r="H193" s="11">
        <v>45422</v>
      </c>
      <c r="I193" s="6" t="s">
        <v>522</v>
      </c>
      <c r="J193" s="6" t="s">
        <v>19</v>
      </c>
      <c r="K193" s="6" t="s">
        <v>210</v>
      </c>
      <c r="L193" s="6" t="s">
        <v>93</v>
      </c>
    </row>
    <row r="194" spans="1:12">
      <c r="A194" s="5" t="s">
        <v>523</v>
      </c>
      <c r="B194" s="20">
        <v>8548</v>
      </c>
      <c r="C194" s="9">
        <v>2305</v>
      </c>
      <c r="D194" s="9">
        <v>1</v>
      </c>
      <c r="E194" s="9" t="s">
        <v>14</v>
      </c>
      <c r="F194" s="6" t="s">
        <v>38</v>
      </c>
      <c r="G194" s="6" t="s">
        <v>8</v>
      </c>
      <c r="H194" s="9" t="s">
        <v>524</v>
      </c>
      <c r="I194" s="6" t="s">
        <v>525</v>
      </c>
      <c r="J194" s="6" t="s">
        <v>11</v>
      </c>
      <c r="K194" s="6" t="s">
        <v>136</v>
      </c>
      <c r="L194" s="6" t="s">
        <v>69</v>
      </c>
    </row>
    <row r="195" spans="1:12">
      <c r="A195" s="5" t="s">
        <v>526</v>
      </c>
      <c r="B195" s="20">
        <v>8541</v>
      </c>
      <c r="C195" s="9">
        <v>2029</v>
      </c>
      <c r="D195" s="9">
        <v>12</v>
      </c>
      <c r="E195" s="9" t="s">
        <v>6</v>
      </c>
      <c r="F195" s="6" t="s">
        <v>13</v>
      </c>
      <c r="G195" s="6" t="s">
        <v>12</v>
      </c>
      <c r="H195" s="11">
        <v>44869</v>
      </c>
      <c r="I195" s="6" t="s">
        <v>527</v>
      </c>
      <c r="J195" s="6" t="s">
        <v>22</v>
      </c>
      <c r="K195" s="6" t="s">
        <v>223</v>
      </c>
      <c r="L195" s="6" t="s">
        <v>63</v>
      </c>
    </row>
    <row r="196" spans="1:12">
      <c r="A196" s="3" t="s">
        <v>528</v>
      </c>
      <c r="B196" s="19">
        <v>8537</v>
      </c>
      <c r="C196" s="8">
        <v>3586</v>
      </c>
      <c r="D196" s="8">
        <v>13</v>
      </c>
      <c r="E196" s="8" t="s">
        <v>14</v>
      </c>
      <c r="F196" s="4" t="s">
        <v>40</v>
      </c>
      <c r="G196" s="4" t="s">
        <v>23</v>
      </c>
      <c r="H196" s="8" t="s">
        <v>529</v>
      </c>
      <c r="I196" s="4" t="s">
        <v>530</v>
      </c>
      <c r="J196" s="4" t="s">
        <v>19</v>
      </c>
      <c r="K196" s="4" t="s">
        <v>108</v>
      </c>
      <c r="L196" s="4" t="s">
        <v>68</v>
      </c>
    </row>
    <row r="197" spans="1:12">
      <c r="A197" s="3" t="s">
        <v>531</v>
      </c>
      <c r="B197" s="19">
        <v>8531</v>
      </c>
      <c r="C197" s="8">
        <v>2555</v>
      </c>
      <c r="D197" s="8">
        <v>4</v>
      </c>
      <c r="E197" s="8" t="s">
        <v>6</v>
      </c>
      <c r="F197" s="4" t="s">
        <v>17</v>
      </c>
      <c r="G197" s="4" t="s">
        <v>20</v>
      </c>
      <c r="H197" s="8" t="s">
        <v>532</v>
      </c>
      <c r="I197" s="4" t="s">
        <v>533</v>
      </c>
      <c r="J197" s="4" t="s">
        <v>25</v>
      </c>
      <c r="K197" s="4" t="s">
        <v>111</v>
      </c>
      <c r="L197" s="4" t="s">
        <v>64</v>
      </c>
    </row>
    <row r="198" spans="1:12">
      <c r="A198" s="5" t="s">
        <v>534</v>
      </c>
      <c r="B198" s="20">
        <v>8526</v>
      </c>
      <c r="C198" s="9">
        <v>1704</v>
      </c>
      <c r="D198" s="9">
        <v>4</v>
      </c>
      <c r="E198" s="9" t="s">
        <v>14</v>
      </c>
      <c r="F198" s="6" t="s">
        <v>38</v>
      </c>
      <c r="G198" s="6" t="s">
        <v>16</v>
      </c>
      <c r="H198" s="9" t="s">
        <v>181</v>
      </c>
      <c r="I198" s="6" t="s">
        <v>535</v>
      </c>
      <c r="J198" s="6" t="s">
        <v>25</v>
      </c>
      <c r="K198" s="6" t="s">
        <v>111</v>
      </c>
      <c r="L198" s="6" t="s">
        <v>74</v>
      </c>
    </row>
    <row r="199" spans="1:12">
      <c r="A199" s="3" t="s">
        <v>536</v>
      </c>
      <c r="B199" s="19">
        <v>8524</v>
      </c>
      <c r="C199" s="8">
        <v>154</v>
      </c>
      <c r="D199" s="8">
        <v>14</v>
      </c>
      <c r="E199" s="8" t="s">
        <v>10</v>
      </c>
      <c r="F199" s="4" t="s">
        <v>34</v>
      </c>
      <c r="G199" s="4" t="s">
        <v>8</v>
      </c>
      <c r="H199" s="8" t="s">
        <v>537</v>
      </c>
      <c r="I199" s="4" t="s">
        <v>538</v>
      </c>
      <c r="J199" s="4" t="s">
        <v>11</v>
      </c>
      <c r="K199" s="4" t="s">
        <v>120</v>
      </c>
      <c r="L199" s="4" t="s">
        <v>89</v>
      </c>
    </row>
    <row r="200" spans="1:12">
      <c r="A200" s="3" t="s">
        <v>248</v>
      </c>
      <c r="B200" s="19">
        <v>8521</v>
      </c>
      <c r="C200" s="8">
        <v>2584</v>
      </c>
      <c r="D200" s="8">
        <v>7</v>
      </c>
      <c r="E200" s="8" t="s">
        <v>14</v>
      </c>
      <c r="F200" s="4" t="s">
        <v>42</v>
      </c>
      <c r="G200" s="4" t="s">
        <v>8</v>
      </c>
      <c r="H200" s="8" t="s">
        <v>249</v>
      </c>
      <c r="I200" s="4" t="s">
        <v>250</v>
      </c>
      <c r="J200" s="4" t="s">
        <v>15</v>
      </c>
      <c r="K200" s="4" t="s">
        <v>235</v>
      </c>
      <c r="L200" s="4" t="s">
        <v>96</v>
      </c>
    </row>
    <row r="201" spans="1:12">
      <c r="A201" s="3" t="s">
        <v>539</v>
      </c>
      <c r="B201" s="19">
        <v>8490</v>
      </c>
      <c r="C201" s="8">
        <v>800</v>
      </c>
      <c r="D201" s="8">
        <v>1</v>
      </c>
      <c r="E201" s="8" t="s">
        <v>14</v>
      </c>
      <c r="F201" s="4" t="s">
        <v>44</v>
      </c>
      <c r="G201" s="4" t="s">
        <v>20</v>
      </c>
      <c r="H201" s="8" t="s">
        <v>540</v>
      </c>
      <c r="I201" s="4" t="s">
        <v>541</v>
      </c>
      <c r="J201" s="4" t="s">
        <v>19</v>
      </c>
      <c r="K201" s="4" t="s">
        <v>210</v>
      </c>
      <c r="L201" s="4" t="s">
        <v>33</v>
      </c>
    </row>
    <row r="202" spans="1:12">
      <c r="A202" s="3" t="s">
        <v>542</v>
      </c>
      <c r="B202" s="19">
        <v>8490</v>
      </c>
      <c r="C202" s="8">
        <v>3485</v>
      </c>
      <c r="D202" s="8">
        <v>3</v>
      </c>
      <c r="E202" s="8" t="s">
        <v>6</v>
      </c>
      <c r="F202" s="4" t="s">
        <v>21</v>
      </c>
      <c r="G202" s="4" t="s">
        <v>12</v>
      </c>
      <c r="H202" s="8" t="s">
        <v>181</v>
      </c>
      <c r="I202" s="4" t="s">
        <v>543</v>
      </c>
      <c r="J202" s="4" t="s">
        <v>19</v>
      </c>
      <c r="K202" s="4" t="s">
        <v>210</v>
      </c>
      <c r="L202" s="4" t="s">
        <v>74</v>
      </c>
    </row>
    <row r="203" spans="1:12">
      <c r="A203" s="5" t="s">
        <v>263</v>
      </c>
      <c r="B203" s="20">
        <v>8468</v>
      </c>
      <c r="C203" s="9">
        <v>3666</v>
      </c>
      <c r="D203" s="9">
        <v>8</v>
      </c>
      <c r="E203" s="9" t="s">
        <v>14</v>
      </c>
      <c r="F203" s="6" t="s">
        <v>44</v>
      </c>
      <c r="G203" s="6" t="s">
        <v>23</v>
      </c>
      <c r="H203" s="9" t="s">
        <v>264</v>
      </c>
      <c r="I203" s="6" t="s">
        <v>265</v>
      </c>
      <c r="J203" s="6" t="s">
        <v>19</v>
      </c>
      <c r="K203" s="6" t="s">
        <v>108</v>
      </c>
      <c r="L203" s="6" t="s">
        <v>87</v>
      </c>
    </row>
    <row r="204" spans="1:12">
      <c r="A204" s="5" t="s">
        <v>544</v>
      </c>
      <c r="B204" s="20">
        <v>8438</v>
      </c>
      <c r="C204" s="9">
        <v>3427</v>
      </c>
      <c r="D204" s="9">
        <v>12</v>
      </c>
      <c r="E204" s="9" t="s">
        <v>14</v>
      </c>
      <c r="F204" s="6" t="s">
        <v>38</v>
      </c>
      <c r="G204" s="6" t="s">
        <v>12</v>
      </c>
      <c r="H204" s="9" t="s">
        <v>545</v>
      </c>
      <c r="I204" s="6" t="s">
        <v>546</v>
      </c>
      <c r="J204" s="6" t="s">
        <v>19</v>
      </c>
      <c r="K204" s="6" t="s">
        <v>126</v>
      </c>
      <c r="L204" s="6" t="s">
        <v>60</v>
      </c>
    </row>
    <row r="205" spans="1:12">
      <c r="A205" s="3" t="s">
        <v>547</v>
      </c>
      <c r="B205" s="19">
        <v>8422</v>
      </c>
      <c r="C205" s="8">
        <v>893</v>
      </c>
      <c r="D205" s="8">
        <v>18</v>
      </c>
      <c r="E205" s="8" t="s">
        <v>6</v>
      </c>
      <c r="F205" s="4" t="s">
        <v>24</v>
      </c>
      <c r="G205" s="4" t="s">
        <v>16</v>
      </c>
      <c r="H205" s="10">
        <v>44873</v>
      </c>
      <c r="I205" s="4" t="s">
        <v>548</v>
      </c>
      <c r="J205" s="4" t="s">
        <v>7</v>
      </c>
      <c r="K205" s="4" t="s">
        <v>124</v>
      </c>
      <c r="L205" s="4" t="s">
        <v>67</v>
      </c>
    </row>
    <row r="206" spans="1:12">
      <c r="A206" s="5" t="s">
        <v>547</v>
      </c>
      <c r="B206" s="20">
        <v>8422</v>
      </c>
      <c r="C206" s="9">
        <v>893</v>
      </c>
      <c r="D206" s="9">
        <v>18</v>
      </c>
      <c r="E206" s="9" t="s">
        <v>6</v>
      </c>
      <c r="F206" s="6" t="s">
        <v>24</v>
      </c>
      <c r="G206" s="6" t="s">
        <v>16</v>
      </c>
      <c r="H206" s="11">
        <v>44903</v>
      </c>
      <c r="I206" s="6" t="s">
        <v>549</v>
      </c>
      <c r="J206" s="6" t="s">
        <v>22</v>
      </c>
      <c r="K206" s="6" t="s">
        <v>179</v>
      </c>
      <c r="L206" s="6" t="s">
        <v>67</v>
      </c>
    </row>
    <row r="207" spans="1:12">
      <c r="A207" s="3" t="s">
        <v>550</v>
      </c>
      <c r="B207" s="19">
        <v>8400</v>
      </c>
      <c r="C207" s="8">
        <v>267</v>
      </c>
      <c r="D207" s="8">
        <v>5</v>
      </c>
      <c r="E207" s="8" t="s">
        <v>6</v>
      </c>
      <c r="F207" s="4" t="s">
        <v>21</v>
      </c>
      <c r="G207" s="4" t="s">
        <v>16</v>
      </c>
      <c r="H207" s="10">
        <v>45514</v>
      </c>
      <c r="I207" s="4" t="s">
        <v>551</v>
      </c>
      <c r="J207" s="4" t="s">
        <v>22</v>
      </c>
      <c r="K207" s="4" t="s">
        <v>179</v>
      </c>
      <c r="L207" s="4" t="s">
        <v>93</v>
      </c>
    </row>
    <row r="208" spans="1:12">
      <c r="A208" s="3" t="s">
        <v>552</v>
      </c>
      <c r="B208" s="19">
        <v>8383</v>
      </c>
      <c r="C208" s="8">
        <v>937</v>
      </c>
      <c r="D208" s="8">
        <v>4</v>
      </c>
      <c r="E208" s="8" t="s">
        <v>10</v>
      </c>
      <c r="F208" s="4" t="s">
        <v>32</v>
      </c>
      <c r="G208" s="4" t="s">
        <v>23</v>
      </c>
      <c r="H208" s="10">
        <v>45417</v>
      </c>
      <c r="I208" s="4" t="s">
        <v>553</v>
      </c>
      <c r="J208" s="4" t="s">
        <v>11</v>
      </c>
      <c r="K208" s="4" t="s">
        <v>120</v>
      </c>
      <c r="L208" s="4" t="s">
        <v>88</v>
      </c>
    </row>
    <row r="209" spans="1:12">
      <c r="A209" s="5" t="s">
        <v>554</v>
      </c>
      <c r="B209" s="20">
        <v>8364</v>
      </c>
      <c r="C209" s="9">
        <v>3055</v>
      </c>
      <c r="D209" s="9">
        <v>17</v>
      </c>
      <c r="E209" s="9" t="s">
        <v>6</v>
      </c>
      <c r="F209" s="6" t="s">
        <v>17</v>
      </c>
      <c r="G209" s="6" t="s">
        <v>12</v>
      </c>
      <c r="H209" s="9" t="s">
        <v>555</v>
      </c>
      <c r="I209" s="6" t="s">
        <v>556</v>
      </c>
      <c r="J209" s="6" t="s">
        <v>15</v>
      </c>
      <c r="K209" s="6" t="s">
        <v>235</v>
      </c>
      <c r="L209" s="6" t="s">
        <v>81</v>
      </c>
    </row>
    <row r="210" spans="1:12">
      <c r="A210" s="3" t="s">
        <v>554</v>
      </c>
      <c r="B210" s="19">
        <v>8364</v>
      </c>
      <c r="C210" s="8">
        <v>3055</v>
      </c>
      <c r="D210" s="8">
        <v>17</v>
      </c>
      <c r="E210" s="8" t="s">
        <v>6</v>
      </c>
      <c r="F210" s="4" t="s">
        <v>17</v>
      </c>
      <c r="G210" s="4" t="s">
        <v>12</v>
      </c>
      <c r="H210" s="8" t="s">
        <v>557</v>
      </c>
      <c r="I210" s="4" t="s">
        <v>558</v>
      </c>
      <c r="J210" s="4" t="s">
        <v>19</v>
      </c>
      <c r="K210" s="4" t="s">
        <v>126</v>
      </c>
      <c r="L210" s="4" t="s">
        <v>65</v>
      </c>
    </row>
    <row r="211" spans="1:12">
      <c r="A211" s="3" t="s">
        <v>559</v>
      </c>
      <c r="B211" s="19">
        <v>8346</v>
      </c>
      <c r="C211" s="8">
        <v>1176</v>
      </c>
      <c r="D211" s="8">
        <v>1</v>
      </c>
      <c r="E211" s="8" t="s">
        <v>6</v>
      </c>
      <c r="F211" s="4" t="s">
        <v>21</v>
      </c>
      <c r="G211" s="4" t="s">
        <v>8</v>
      </c>
      <c r="H211" s="8" t="s">
        <v>560</v>
      </c>
      <c r="I211" s="4" t="s">
        <v>561</v>
      </c>
      <c r="J211" s="4" t="s">
        <v>25</v>
      </c>
      <c r="K211" s="4" t="s">
        <v>253</v>
      </c>
      <c r="L211" s="4" t="s">
        <v>39</v>
      </c>
    </row>
    <row r="212" spans="1:12">
      <c r="A212" s="5" t="s">
        <v>559</v>
      </c>
      <c r="B212" s="20">
        <v>8346</v>
      </c>
      <c r="C212" s="9">
        <v>1176</v>
      </c>
      <c r="D212" s="9">
        <v>1</v>
      </c>
      <c r="E212" s="9" t="s">
        <v>6</v>
      </c>
      <c r="F212" s="6" t="s">
        <v>21</v>
      </c>
      <c r="G212" s="6" t="s">
        <v>8</v>
      </c>
      <c r="H212" s="9" t="s">
        <v>562</v>
      </c>
      <c r="I212" s="6" t="s">
        <v>563</v>
      </c>
      <c r="J212" s="6" t="s">
        <v>15</v>
      </c>
      <c r="K212" s="6" t="s">
        <v>132</v>
      </c>
      <c r="L212" s="6" t="s">
        <v>75</v>
      </c>
    </row>
    <row r="213" spans="1:12">
      <c r="A213" s="3" t="s">
        <v>559</v>
      </c>
      <c r="B213" s="19">
        <v>8346</v>
      </c>
      <c r="C213" s="8">
        <v>1176</v>
      </c>
      <c r="D213" s="8">
        <v>1</v>
      </c>
      <c r="E213" s="8" t="s">
        <v>6</v>
      </c>
      <c r="F213" s="4" t="s">
        <v>21</v>
      </c>
      <c r="G213" s="4" t="s">
        <v>8</v>
      </c>
      <c r="H213" s="8" t="s">
        <v>564</v>
      </c>
      <c r="I213" s="4" t="s">
        <v>565</v>
      </c>
      <c r="J213" s="4" t="s">
        <v>7</v>
      </c>
      <c r="K213" s="4" t="s">
        <v>124</v>
      </c>
      <c r="L213" s="4" t="s">
        <v>83</v>
      </c>
    </row>
    <row r="214" spans="1:12">
      <c r="A214" s="3" t="s">
        <v>566</v>
      </c>
      <c r="B214" s="19">
        <v>8305</v>
      </c>
      <c r="C214" s="8">
        <v>1577</v>
      </c>
      <c r="D214" s="8">
        <v>6</v>
      </c>
      <c r="E214" s="8" t="s">
        <v>14</v>
      </c>
      <c r="F214" s="4" t="s">
        <v>38</v>
      </c>
      <c r="G214" s="4" t="s">
        <v>16</v>
      </c>
      <c r="H214" s="8" t="s">
        <v>567</v>
      </c>
      <c r="I214" s="4" t="s">
        <v>568</v>
      </c>
      <c r="J214" s="4" t="s">
        <v>19</v>
      </c>
      <c r="K214" s="4" t="s">
        <v>108</v>
      </c>
      <c r="L214" s="4" t="s">
        <v>47</v>
      </c>
    </row>
    <row r="215" spans="1:12">
      <c r="A215" s="3" t="s">
        <v>569</v>
      </c>
      <c r="B215" s="19">
        <v>8293</v>
      </c>
      <c r="C215" s="8">
        <v>2632</v>
      </c>
      <c r="D215" s="8">
        <v>8</v>
      </c>
      <c r="E215" s="8" t="s">
        <v>14</v>
      </c>
      <c r="F215" s="4" t="s">
        <v>38</v>
      </c>
      <c r="G215" s="4" t="s">
        <v>8</v>
      </c>
      <c r="H215" s="10">
        <v>44682</v>
      </c>
      <c r="I215" s="4" t="s">
        <v>570</v>
      </c>
      <c r="J215" s="4" t="s">
        <v>22</v>
      </c>
      <c r="K215" s="4" t="s">
        <v>117</v>
      </c>
      <c r="L215" s="4" t="s">
        <v>60</v>
      </c>
    </row>
    <row r="216" spans="1:12">
      <c r="A216" s="5" t="s">
        <v>569</v>
      </c>
      <c r="B216" s="20">
        <v>8293</v>
      </c>
      <c r="C216" s="9">
        <v>2632</v>
      </c>
      <c r="D216" s="9">
        <v>8</v>
      </c>
      <c r="E216" s="9" t="s">
        <v>14</v>
      </c>
      <c r="F216" s="6" t="s">
        <v>38</v>
      </c>
      <c r="G216" s="6" t="s">
        <v>8</v>
      </c>
      <c r="H216" s="9" t="s">
        <v>571</v>
      </c>
      <c r="I216" s="6" t="s">
        <v>572</v>
      </c>
      <c r="J216" s="6" t="s">
        <v>19</v>
      </c>
      <c r="K216" s="6" t="s">
        <v>108</v>
      </c>
      <c r="L216" s="6" t="s">
        <v>43</v>
      </c>
    </row>
    <row r="217" spans="1:12">
      <c r="A217" s="3" t="s">
        <v>569</v>
      </c>
      <c r="B217" s="19">
        <v>8293</v>
      </c>
      <c r="C217" s="8">
        <v>2632</v>
      </c>
      <c r="D217" s="8">
        <v>8</v>
      </c>
      <c r="E217" s="8" t="s">
        <v>14</v>
      </c>
      <c r="F217" s="4" t="s">
        <v>38</v>
      </c>
      <c r="G217" s="4" t="s">
        <v>8</v>
      </c>
      <c r="H217" s="8" t="s">
        <v>573</v>
      </c>
      <c r="I217" s="4" t="s">
        <v>574</v>
      </c>
      <c r="J217" s="4" t="s">
        <v>7</v>
      </c>
      <c r="K217" s="4" t="s">
        <v>205</v>
      </c>
      <c r="L217" s="4" t="s">
        <v>79</v>
      </c>
    </row>
    <row r="218" spans="1:12">
      <c r="A218" s="3" t="s">
        <v>286</v>
      </c>
      <c r="B218" s="19">
        <v>8245</v>
      </c>
      <c r="C218" s="8">
        <v>324</v>
      </c>
      <c r="D218" s="8">
        <v>11</v>
      </c>
      <c r="E218" s="8" t="s">
        <v>14</v>
      </c>
      <c r="F218" s="4" t="s">
        <v>42</v>
      </c>
      <c r="G218" s="4" t="s">
        <v>20</v>
      </c>
      <c r="H218" s="10">
        <v>45329</v>
      </c>
      <c r="I218" s="4" t="s">
        <v>287</v>
      </c>
      <c r="J218" s="4" t="s">
        <v>15</v>
      </c>
      <c r="K218" s="4" t="s">
        <v>171</v>
      </c>
      <c r="L218" s="4" t="s">
        <v>90</v>
      </c>
    </row>
    <row r="219" spans="1:12">
      <c r="A219" s="5" t="s">
        <v>575</v>
      </c>
      <c r="B219" s="20">
        <v>8243</v>
      </c>
      <c r="C219" s="9">
        <v>1346</v>
      </c>
      <c r="D219" s="9">
        <v>15</v>
      </c>
      <c r="E219" s="9" t="s">
        <v>14</v>
      </c>
      <c r="F219" s="6" t="s">
        <v>38</v>
      </c>
      <c r="G219" s="6" t="s">
        <v>16</v>
      </c>
      <c r="H219" s="11">
        <v>44290</v>
      </c>
      <c r="I219" s="6" t="s">
        <v>576</v>
      </c>
      <c r="J219" s="6" t="s">
        <v>25</v>
      </c>
      <c r="K219" s="6" t="s">
        <v>253</v>
      </c>
      <c r="L219" s="6" t="s">
        <v>51</v>
      </c>
    </row>
    <row r="220" spans="1:12">
      <c r="A220" s="3" t="s">
        <v>577</v>
      </c>
      <c r="B220" s="19">
        <v>8220</v>
      </c>
      <c r="C220" s="8">
        <v>3882</v>
      </c>
      <c r="D220" s="8">
        <v>14</v>
      </c>
      <c r="E220" s="8" t="s">
        <v>10</v>
      </c>
      <c r="F220" s="4" t="s">
        <v>30</v>
      </c>
      <c r="G220" s="4" t="s">
        <v>23</v>
      </c>
      <c r="H220" s="8" t="s">
        <v>578</v>
      </c>
      <c r="I220" s="4" t="s">
        <v>579</v>
      </c>
      <c r="J220" s="4" t="s">
        <v>11</v>
      </c>
      <c r="K220" s="4" t="s">
        <v>156</v>
      </c>
      <c r="L220" s="4" t="s">
        <v>60</v>
      </c>
    </row>
    <row r="221" spans="1:12">
      <c r="A221" s="3" t="s">
        <v>580</v>
      </c>
      <c r="B221" s="19">
        <v>8218</v>
      </c>
      <c r="C221" s="8">
        <v>1430</v>
      </c>
      <c r="D221" s="8">
        <v>19</v>
      </c>
      <c r="E221" s="8" t="s">
        <v>10</v>
      </c>
      <c r="F221" s="4" t="s">
        <v>28</v>
      </c>
      <c r="G221" s="4" t="s">
        <v>12</v>
      </c>
      <c r="H221" s="10">
        <v>45144</v>
      </c>
      <c r="I221" s="4" t="s">
        <v>581</v>
      </c>
      <c r="J221" s="4" t="s">
        <v>7</v>
      </c>
      <c r="K221" s="4" t="s">
        <v>124</v>
      </c>
      <c r="L221" s="4" t="s">
        <v>77</v>
      </c>
    </row>
    <row r="222" spans="1:12">
      <c r="A222" s="5" t="s">
        <v>582</v>
      </c>
      <c r="B222" s="20">
        <v>8204</v>
      </c>
      <c r="C222" s="9">
        <v>2382</v>
      </c>
      <c r="D222" s="9">
        <v>6</v>
      </c>
      <c r="E222" s="9" t="s">
        <v>14</v>
      </c>
      <c r="F222" s="6" t="s">
        <v>44</v>
      </c>
      <c r="G222" s="6" t="s">
        <v>23</v>
      </c>
      <c r="H222" s="9" t="s">
        <v>583</v>
      </c>
      <c r="I222" s="6" t="s">
        <v>584</v>
      </c>
      <c r="J222" s="6" t="s">
        <v>15</v>
      </c>
      <c r="K222" s="6" t="s">
        <v>132</v>
      </c>
      <c r="L222" s="6" t="s">
        <v>29</v>
      </c>
    </row>
    <row r="223" spans="1:12">
      <c r="A223" s="3" t="s">
        <v>582</v>
      </c>
      <c r="B223" s="19">
        <v>8204</v>
      </c>
      <c r="C223" s="8">
        <v>2382</v>
      </c>
      <c r="D223" s="8">
        <v>6</v>
      </c>
      <c r="E223" s="8" t="s">
        <v>14</v>
      </c>
      <c r="F223" s="4" t="s">
        <v>44</v>
      </c>
      <c r="G223" s="4" t="s">
        <v>23</v>
      </c>
      <c r="H223" s="8" t="s">
        <v>166</v>
      </c>
      <c r="I223" s="4" t="s">
        <v>585</v>
      </c>
      <c r="J223" s="4" t="s">
        <v>19</v>
      </c>
      <c r="K223" s="4" t="s">
        <v>126</v>
      </c>
      <c r="L223" s="4" t="s">
        <v>43</v>
      </c>
    </row>
    <row r="224" spans="1:12">
      <c r="A224" s="5" t="s">
        <v>337</v>
      </c>
      <c r="B224" s="20">
        <v>8200</v>
      </c>
      <c r="C224" s="9">
        <v>257</v>
      </c>
      <c r="D224" s="9">
        <v>19</v>
      </c>
      <c r="E224" s="9" t="s">
        <v>6</v>
      </c>
      <c r="F224" s="6" t="s">
        <v>17</v>
      </c>
      <c r="G224" s="6" t="s">
        <v>8</v>
      </c>
      <c r="H224" s="9" t="s">
        <v>181</v>
      </c>
      <c r="I224" s="6" t="s">
        <v>338</v>
      </c>
      <c r="J224" s="6" t="s">
        <v>22</v>
      </c>
      <c r="K224" s="6" t="s">
        <v>223</v>
      </c>
      <c r="L224" s="6" t="s">
        <v>74</v>
      </c>
    </row>
    <row r="225" spans="1:12">
      <c r="A225" s="3" t="s">
        <v>586</v>
      </c>
      <c r="B225" s="19">
        <v>8194</v>
      </c>
      <c r="C225" s="8">
        <v>2881</v>
      </c>
      <c r="D225" s="8">
        <v>6</v>
      </c>
      <c r="E225" s="8" t="s">
        <v>14</v>
      </c>
      <c r="F225" s="4" t="s">
        <v>42</v>
      </c>
      <c r="G225" s="4" t="s">
        <v>16</v>
      </c>
      <c r="H225" s="8" t="s">
        <v>147</v>
      </c>
      <c r="I225" s="4" t="s">
        <v>587</v>
      </c>
      <c r="J225" s="4" t="s">
        <v>25</v>
      </c>
      <c r="K225" s="4" t="s">
        <v>253</v>
      </c>
      <c r="L225" s="4" t="s">
        <v>54</v>
      </c>
    </row>
    <row r="226" spans="1:12">
      <c r="A226" s="3" t="s">
        <v>588</v>
      </c>
      <c r="B226" s="19">
        <v>8178</v>
      </c>
      <c r="C226" s="8">
        <v>2462</v>
      </c>
      <c r="D226" s="8">
        <v>10</v>
      </c>
      <c r="E226" s="8" t="s">
        <v>14</v>
      </c>
      <c r="F226" s="4" t="s">
        <v>44</v>
      </c>
      <c r="G226" s="4" t="s">
        <v>23</v>
      </c>
      <c r="H226" s="8" t="s">
        <v>589</v>
      </c>
      <c r="I226" s="4" t="s">
        <v>590</v>
      </c>
      <c r="J226" s="4" t="s">
        <v>7</v>
      </c>
      <c r="K226" s="4" t="s">
        <v>205</v>
      </c>
      <c r="L226" s="4" t="s">
        <v>79</v>
      </c>
    </row>
    <row r="227" spans="1:12">
      <c r="A227" s="5" t="s">
        <v>591</v>
      </c>
      <c r="B227" s="20">
        <v>8175</v>
      </c>
      <c r="C227" s="9">
        <v>525</v>
      </c>
      <c r="D227" s="9">
        <v>7</v>
      </c>
      <c r="E227" s="9" t="s">
        <v>10</v>
      </c>
      <c r="F227" s="6" t="s">
        <v>32</v>
      </c>
      <c r="G227" s="6" t="s">
        <v>12</v>
      </c>
      <c r="H227" s="11">
        <v>44754</v>
      </c>
      <c r="I227" s="6" t="s">
        <v>592</v>
      </c>
      <c r="J227" s="6" t="s">
        <v>15</v>
      </c>
      <c r="K227" s="6" t="s">
        <v>132</v>
      </c>
      <c r="L227" s="6" t="s">
        <v>71</v>
      </c>
    </row>
    <row r="228" spans="1:12">
      <c r="A228" s="3" t="s">
        <v>591</v>
      </c>
      <c r="B228" s="19">
        <v>8175</v>
      </c>
      <c r="C228" s="8">
        <v>525</v>
      </c>
      <c r="D228" s="8">
        <v>7</v>
      </c>
      <c r="E228" s="8" t="s">
        <v>10</v>
      </c>
      <c r="F228" s="4" t="s">
        <v>32</v>
      </c>
      <c r="G228" s="4" t="s">
        <v>12</v>
      </c>
      <c r="H228" s="8" t="s">
        <v>264</v>
      </c>
      <c r="I228" s="4" t="s">
        <v>593</v>
      </c>
      <c r="J228" s="4" t="s">
        <v>25</v>
      </c>
      <c r="K228" s="4" t="s">
        <v>111</v>
      </c>
      <c r="L228" s="4" t="s">
        <v>87</v>
      </c>
    </row>
    <row r="229" spans="1:12">
      <c r="A229" s="5" t="s">
        <v>594</v>
      </c>
      <c r="B229" s="20">
        <v>8158</v>
      </c>
      <c r="C229" s="9">
        <v>2052</v>
      </c>
      <c r="D229" s="9">
        <v>13</v>
      </c>
      <c r="E229" s="9" t="s">
        <v>6</v>
      </c>
      <c r="F229" s="6" t="s">
        <v>21</v>
      </c>
      <c r="G229" s="6" t="s">
        <v>16</v>
      </c>
      <c r="H229" s="9" t="s">
        <v>197</v>
      </c>
      <c r="I229" s="6" t="s">
        <v>595</v>
      </c>
      <c r="J229" s="6" t="s">
        <v>22</v>
      </c>
      <c r="K229" s="6" t="s">
        <v>223</v>
      </c>
      <c r="L229" s="6" t="s">
        <v>41</v>
      </c>
    </row>
    <row r="230" spans="1:12">
      <c r="A230" s="5" t="s">
        <v>596</v>
      </c>
      <c r="B230" s="20">
        <v>8141</v>
      </c>
      <c r="C230" s="9">
        <v>3968</v>
      </c>
      <c r="D230" s="9">
        <v>18</v>
      </c>
      <c r="E230" s="9" t="s">
        <v>14</v>
      </c>
      <c r="F230" s="6" t="s">
        <v>40</v>
      </c>
      <c r="G230" s="6" t="s">
        <v>16</v>
      </c>
      <c r="H230" s="9" t="s">
        <v>597</v>
      </c>
      <c r="I230" s="6" t="s">
        <v>598</v>
      </c>
      <c r="J230" s="6" t="s">
        <v>19</v>
      </c>
      <c r="K230" s="6" t="s">
        <v>108</v>
      </c>
      <c r="L230" s="6" t="s">
        <v>71</v>
      </c>
    </row>
    <row r="231" spans="1:12">
      <c r="A231" s="3" t="s">
        <v>596</v>
      </c>
      <c r="B231" s="19">
        <v>8141</v>
      </c>
      <c r="C231" s="8">
        <v>3968</v>
      </c>
      <c r="D231" s="8">
        <v>18</v>
      </c>
      <c r="E231" s="8" t="s">
        <v>14</v>
      </c>
      <c r="F231" s="4" t="s">
        <v>40</v>
      </c>
      <c r="G231" s="4" t="s">
        <v>16</v>
      </c>
      <c r="H231" s="10">
        <v>44842</v>
      </c>
      <c r="I231" s="4" t="s">
        <v>599</v>
      </c>
      <c r="J231" s="4" t="s">
        <v>15</v>
      </c>
      <c r="K231" s="4" t="s">
        <v>235</v>
      </c>
      <c r="L231" s="4" t="s">
        <v>67</v>
      </c>
    </row>
    <row r="232" spans="1:12">
      <c r="A232" s="5" t="s">
        <v>600</v>
      </c>
      <c r="B232" s="20">
        <v>8127</v>
      </c>
      <c r="C232" s="9">
        <v>3551</v>
      </c>
      <c r="D232" s="9">
        <v>16</v>
      </c>
      <c r="E232" s="9" t="s">
        <v>10</v>
      </c>
      <c r="F232" s="6" t="s">
        <v>34</v>
      </c>
      <c r="G232" s="6" t="s">
        <v>12</v>
      </c>
      <c r="H232" s="9" t="s">
        <v>601</v>
      </c>
      <c r="I232" s="6" t="s">
        <v>602</v>
      </c>
      <c r="J232" s="6" t="s">
        <v>7</v>
      </c>
      <c r="K232" s="6" t="s">
        <v>205</v>
      </c>
      <c r="L232" s="6" t="s">
        <v>70</v>
      </c>
    </row>
    <row r="233" spans="1:12">
      <c r="A233" s="5" t="s">
        <v>603</v>
      </c>
      <c r="B233" s="20">
        <v>8104</v>
      </c>
      <c r="C233" s="9">
        <v>1039</v>
      </c>
      <c r="D233" s="9">
        <v>6</v>
      </c>
      <c r="E233" s="9" t="s">
        <v>14</v>
      </c>
      <c r="F233" s="6" t="s">
        <v>40</v>
      </c>
      <c r="G233" s="6" t="s">
        <v>8</v>
      </c>
      <c r="H233" s="9" t="s">
        <v>604</v>
      </c>
      <c r="I233" s="6" t="s">
        <v>605</v>
      </c>
      <c r="J233" s="6" t="s">
        <v>11</v>
      </c>
      <c r="K233" s="6" t="s">
        <v>120</v>
      </c>
      <c r="L233" s="6" t="s">
        <v>58</v>
      </c>
    </row>
    <row r="234" spans="1:12">
      <c r="A234" s="3" t="s">
        <v>603</v>
      </c>
      <c r="B234" s="19">
        <v>8104</v>
      </c>
      <c r="C234" s="8">
        <v>1039</v>
      </c>
      <c r="D234" s="8">
        <v>6</v>
      </c>
      <c r="E234" s="8" t="s">
        <v>14</v>
      </c>
      <c r="F234" s="4" t="s">
        <v>40</v>
      </c>
      <c r="G234" s="4" t="s">
        <v>8</v>
      </c>
      <c r="H234" s="10">
        <v>44357</v>
      </c>
      <c r="I234" s="4" t="s">
        <v>606</v>
      </c>
      <c r="J234" s="4" t="s">
        <v>11</v>
      </c>
      <c r="K234" s="4" t="s">
        <v>156</v>
      </c>
      <c r="L234" s="4" t="s">
        <v>57</v>
      </c>
    </row>
    <row r="235" spans="1:12">
      <c r="A235" s="5" t="s">
        <v>603</v>
      </c>
      <c r="B235" s="20">
        <v>8104</v>
      </c>
      <c r="C235" s="9">
        <v>1039</v>
      </c>
      <c r="D235" s="9">
        <v>6</v>
      </c>
      <c r="E235" s="9" t="s">
        <v>14</v>
      </c>
      <c r="F235" s="6" t="s">
        <v>40</v>
      </c>
      <c r="G235" s="6" t="s">
        <v>8</v>
      </c>
      <c r="H235" s="9" t="s">
        <v>607</v>
      </c>
      <c r="I235" s="6" t="s">
        <v>608</v>
      </c>
      <c r="J235" s="6" t="s">
        <v>7</v>
      </c>
      <c r="K235" s="6" t="s">
        <v>124</v>
      </c>
      <c r="L235" s="6" t="s">
        <v>96</v>
      </c>
    </row>
    <row r="236" spans="1:12">
      <c r="A236" s="3" t="s">
        <v>609</v>
      </c>
      <c r="B236" s="19">
        <v>8102</v>
      </c>
      <c r="C236" s="8">
        <v>1800</v>
      </c>
      <c r="D236" s="8">
        <v>5</v>
      </c>
      <c r="E236" s="8" t="s">
        <v>14</v>
      </c>
      <c r="F236" s="4" t="s">
        <v>40</v>
      </c>
      <c r="G236" s="4" t="s">
        <v>23</v>
      </c>
      <c r="H236" s="8" t="s">
        <v>610</v>
      </c>
      <c r="I236" s="4" t="s">
        <v>611</v>
      </c>
      <c r="J236" s="4" t="s">
        <v>7</v>
      </c>
      <c r="K236" s="4" t="s">
        <v>124</v>
      </c>
      <c r="L236" s="4" t="s">
        <v>80</v>
      </c>
    </row>
    <row r="237" spans="1:12">
      <c r="A237" s="5" t="s">
        <v>609</v>
      </c>
      <c r="B237" s="20">
        <v>8102</v>
      </c>
      <c r="C237" s="9">
        <v>1800</v>
      </c>
      <c r="D237" s="9">
        <v>5</v>
      </c>
      <c r="E237" s="9" t="s">
        <v>14</v>
      </c>
      <c r="F237" s="6" t="s">
        <v>40</v>
      </c>
      <c r="G237" s="6" t="s">
        <v>23</v>
      </c>
      <c r="H237" s="9" t="s">
        <v>612</v>
      </c>
      <c r="I237" s="6" t="s">
        <v>613</v>
      </c>
      <c r="J237" s="6" t="s">
        <v>19</v>
      </c>
      <c r="K237" s="6" t="s">
        <v>126</v>
      </c>
      <c r="L237" s="6" t="s">
        <v>31</v>
      </c>
    </row>
    <row r="238" spans="1:12">
      <c r="A238" s="3" t="s">
        <v>609</v>
      </c>
      <c r="B238" s="19">
        <v>8102</v>
      </c>
      <c r="C238" s="8">
        <v>1800</v>
      </c>
      <c r="D238" s="8">
        <v>5</v>
      </c>
      <c r="E238" s="8" t="s">
        <v>14</v>
      </c>
      <c r="F238" s="4" t="s">
        <v>40</v>
      </c>
      <c r="G238" s="4" t="s">
        <v>23</v>
      </c>
      <c r="H238" s="8" t="s">
        <v>614</v>
      </c>
      <c r="I238" s="4" t="s">
        <v>615</v>
      </c>
      <c r="J238" s="4" t="s">
        <v>22</v>
      </c>
      <c r="K238" s="4" t="s">
        <v>117</v>
      </c>
      <c r="L238" s="4" t="s">
        <v>47</v>
      </c>
    </row>
    <row r="239" spans="1:12">
      <c r="A239" s="5" t="s">
        <v>474</v>
      </c>
      <c r="B239" s="20">
        <v>8089</v>
      </c>
      <c r="C239" s="9">
        <v>3132</v>
      </c>
      <c r="D239" s="9">
        <v>17</v>
      </c>
      <c r="E239" s="9" t="s">
        <v>10</v>
      </c>
      <c r="F239" s="6" t="s">
        <v>30</v>
      </c>
      <c r="G239" s="6" t="s">
        <v>8</v>
      </c>
      <c r="H239" s="9" t="s">
        <v>475</v>
      </c>
      <c r="I239" s="6" t="s">
        <v>476</v>
      </c>
      <c r="J239" s="6" t="s">
        <v>15</v>
      </c>
      <c r="K239" s="6" t="s">
        <v>132</v>
      </c>
      <c r="L239" s="6" t="s">
        <v>65</v>
      </c>
    </row>
    <row r="240" spans="1:12">
      <c r="A240" s="3" t="s">
        <v>208</v>
      </c>
      <c r="B240" s="19">
        <v>8077</v>
      </c>
      <c r="C240" s="8">
        <v>240</v>
      </c>
      <c r="D240" s="8">
        <v>15</v>
      </c>
      <c r="E240" s="8" t="s">
        <v>10</v>
      </c>
      <c r="F240" s="4" t="s">
        <v>32</v>
      </c>
      <c r="G240" s="4" t="s">
        <v>12</v>
      </c>
      <c r="H240" s="10">
        <v>44174</v>
      </c>
      <c r="I240" s="4" t="s">
        <v>209</v>
      </c>
      <c r="J240" s="4" t="s">
        <v>19</v>
      </c>
      <c r="K240" s="4" t="s">
        <v>210</v>
      </c>
      <c r="L240" s="4" t="s">
        <v>41</v>
      </c>
    </row>
    <row r="241" spans="1:12">
      <c r="A241" s="5" t="s">
        <v>508</v>
      </c>
      <c r="B241" s="20">
        <v>8059</v>
      </c>
      <c r="C241" s="9">
        <v>1834</v>
      </c>
      <c r="D241" s="9">
        <v>10</v>
      </c>
      <c r="E241" s="9" t="s">
        <v>6</v>
      </c>
      <c r="F241" s="6" t="s">
        <v>24</v>
      </c>
      <c r="G241" s="6" t="s">
        <v>12</v>
      </c>
      <c r="H241" s="9" t="s">
        <v>421</v>
      </c>
      <c r="I241" s="6" t="s">
        <v>509</v>
      </c>
      <c r="J241" s="6" t="s">
        <v>15</v>
      </c>
      <c r="K241" s="6" t="s">
        <v>171</v>
      </c>
      <c r="L241" s="6" t="s">
        <v>52</v>
      </c>
    </row>
    <row r="242" spans="1:12">
      <c r="A242" s="3" t="s">
        <v>508</v>
      </c>
      <c r="B242" s="19">
        <v>8059</v>
      </c>
      <c r="C242" s="8">
        <v>1834</v>
      </c>
      <c r="D242" s="8">
        <v>10</v>
      </c>
      <c r="E242" s="8" t="s">
        <v>6</v>
      </c>
      <c r="F242" s="4" t="s">
        <v>24</v>
      </c>
      <c r="G242" s="4" t="s">
        <v>12</v>
      </c>
      <c r="H242" s="10">
        <v>45053</v>
      </c>
      <c r="I242" s="4" t="s">
        <v>510</v>
      </c>
      <c r="J242" s="4" t="s">
        <v>15</v>
      </c>
      <c r="K242" s="4" t="s">
        <v>171</v>
      </c>
      <c r="L242" s="4" t="s">
        <v>78</v>
      </c>
    </row>
    <row r="243" spans="1:12">
      <c r="A243" s="5" t="s">
        <v>508</v>
      </c>
      <c r="B243" s="20">
        <v>8059</v>
      </c>
      <c r="C243" s="9">
        <v>1834</v>
      </c>
      <c r="D243" s="9">
        <v>10</v>
      </c>
      <c r="E243" s="9" t="s">
        <v>6</v>
      </c>
      <c r="F243" s="6" t="s">
        <v>24</v>
      </c>
      <c r="G243" s="6" t="s">
        <v>12</v>
      </c>
      <c r="H243" s="9" t="s">
        <v>511</v>
      </c>
      <c r="I243" s="6" t="s">
        <v>512</v>
      </c>
      <c r="J243" s="6" t="s">
        <v>7</v>
      </c>
      <c r="K243" s="6" t="s">
        <v>162</v>
      </c>
      <c r="L243" s="6" t="s">
        <v>43</v>
      </c>
    </row>
    <row r="244" spans="1:12">
      <c r="A244" s="5" t="s">
        <v>616</v>
      </c>
      <c r="B244" s="20">
        <v>8055</v>
      </c>
      <c r="C244" s="9">
        <v>661</v>
      </c>
      <c r="D244" s="9">
        <v>10</v>
      </c>
      <c r="E244" s="9" t="s">
        <v>6</v>
      </c>
      <c r="F244" s="6" t="s">
        <v>21</v>
      </c>
      <c r="G244" s="6" t="s">
        <v>20</v>
      </c>
      <c r="H244" s="11">
        <v>44905</v>
      </c>
      <c r="I244" s="6" t="s">
        <v>617</v>
      </c>
      <c r="J244" s="6" t="s">
        <v>19</v>
      </c>
      <c r="K244" s="6" t="s">
        <v>108</v>
      </c>
      <c r="L244" s="6" t="s">
        <v>69</v>
      </c>
    </row>
    <row r="245" spans="1:12">
      <c r="A245" s="3" t="s">
        <v>616</v>
      </c>
      <c r="B245" s="19">
        <v>8055</v>
      </c>
      <c r="C245" s="8">
        <v>661</v>
      </c>
      <c r="D245" s="8">
        <v>10</v>
      </c>
      <c r="E245" s="8" t="s">
        <v>6</v>
      </c>
      <c r="F245" s="4" t="s">
        <v>21</v>
      </c>
      <c r="G245" s="4" t="s">
        <v>20</v>
      </c>
      <c r="H245" s="8" t="s">
        <v>618</v>
      </c>
      <c r="I245" s="4" t="s">
        <v>619</v>
      </c>
      <c r="J245" s="4" t="s">
        <v>7</v>
      </c>
      <c r="K245" s="4" t="s">
        <v>162</v>
      </c>
      <c r="L245" s="4" t="s">
        <v>33</v>
      </c>
    </row>
    <row r="246" spans="1:12">
      <c r="A246" s="5" t="s">
        <v>616</v>
      </c>
      <c r="B246" s="20">
        <v>8055</v>
      </c>
      <c r="C246" s="9">
        <v>661</v>
      </c>
      <c r="D246" s="9">
        <v>10</v>
      </c>
      <c r="E246" s="9" t="s">
        <v>6</v>
      </c>
      <c r="F246" s="6" t="s">
        <v>21</v>
      </c>
      <c r="G246" s="6" t="s">
        <v>20</v>
      </c>
      <c r="H246" s="9" t="s">
        <v>350</v>
      </c>
      <c r="I246" s="6" t="s">
        <v>620</v>
      </c>
      <c r="J246" s="6" t="s">
        <v>11</v>
      </c>
      <c r="K246" s="6" t="s">
        <v>136</v>
      </c>
      <c r="L246" s="6" t="s">
        <v>31</v>
      </c>
    </row>
    <row r="247" spans="1:12">
      <c r="A247" s="3" t="s">
        <v>621</v>
      </c>
      <c r="B247" s="19">
        <v>8044</v>
      </c>
      <c r="C247" s="8">
        <v>3634</v>
      </c>
      <c r="D247" s="8">
        <v>3</v>
      </c>
      <c r="E247" s="8" t="s">
        <v>14</v>
      </c>
      <c r="F247" s="4" t="s">
        <v>40</v>
      </c>
      <c r="G247" s="4" t="s">
        <v>8</v>
      </c>
      <c r="H247" s="8" t="s">
        <v>622</v>
      </c>
      <c r="I247" s="4" t="s">
        <v>623</v>
      </c>
      <c r="J247" s="4" t="s">
        <v>11</v>
      </c>
      <c r="K247" s="4" t="s">
        <v>120</v>
      </c>
      <c r="L247" s="4" t="s">
        <v>47</v>
      </c>
    </row>
    <row r="248" spans="1:12">
      <c r="A248" s="5" t="s">
        <v>621</v>
      </c>
      <c r="B248" s="20">
        <v>8044</v>
      </c>
      <c r="C248" s="9">
        <v>3634</v>
      </c>
      <c r="D248" s="9">
        <v>3</v>
      </c>
      <c r="E248" s="9" t="s">
        <v>14</v>
      </c>
      <c r="F248" s="6" t="s">
        <v>40</v>
      </c>
      <c r="G248" s="6" t="s">
        <v>8</v>
      </c>
      <c r="H248" s="11">
        <v>44752</v>
      </c>
      <c r="I248" s="6" t="s">
        <v>624</v>
      </c>
      <c r="J248" s="6" t="s">
        <v>7</v>
      </c>
      <c r="K248" s="6" t="s">
        <v>162</v>
      </c>
      <c r="L248" s="6" t="s">
        <v>69</v>
      </c>
    </row>
    <row r="249" spans="1:12">
      <c r="A249" s="3" t="s">
        <v>625</v>
      </c>
      <c r="B249" s="19">
        <v>8042</v>
      </c>
      <c r="C249" s="8">
        <v>936</v>
      </c>
      <c r="D249" s="8">
        <v>15</v>
      </c>
      <c r="E249" s="8" t="s">
        <v>14</v>
      </c>
      <c r="F249" s="4" t="s">
        <v>40</v>
      </c>
      <c r="G249" s="4" t="s">
        <v>20</v>
      </c>
      <c r="H249" s="10">
        <v>44446</v>
      </c>
      <c r="I249" s="4" t="s">
        <v>626</v>
      </c>
      <c r="J249" s="4" t="s">
        <v>15</v>
      </c>
      <c r="K249" s="4" t="s">
        <v>171</v>
      </c>
      <c r="L249" s="4" t="s">
        <v>54</v>
      </c>
    </row>
    <row r="250" spans="1:12">
      <c r="A250" s="5" t="s">
        <v>625</v>
      </c>
      <c r="B250" s="20">
        <v>8042</v>
      </c>
      <c r="C250" s="9">
        <v>936</v>
      </c>
      <c r="D250" s="9">
        <v>15</v>
      </c>
      <c r="E250" s="9" t="s">
        <v>14</v>
      </c>
      <c r="F250" s="6" t="s">
        <v>40</v>
      </c>
      <c r="G250" s="6" t="s">
        <v>20</v>
      </c>
      <c r="H250" s="11">
        <v>44777</v>
      </c>
      <c r="I250" s="6" t="s">
        <v>627</v>
      </c>
      <c r="J250" s="6" t="s">
        <v>7</v>
      </c>
      <c r="K250" s="6" t="s">
        <v>205</v>
      </c>
      <c r="L250" s="6" t="s">
        <v>63</v>
      </c>
    </row>
    <row r="251" spans="1:12">
      <c r="A251" s="3" t="s">
        <v>628</v>
      </c>
      <c r="B251" s="19">
        <v>8020</v>
      </c>
      <c r="C251" s="8">
        <v>3898</v>
      </c>
      <c r="D251" s="8">
        <v>20</v>
      </c>
      <c r="E251" s="8" t="s">
        <v>6</v>
      </c>
      <c r="F251" s="4" t="s">
        <v>13</v>
      </c>
      <c r="G251" s="4" t="s">
        <v>20</v>
      </c>
      <c r="H251" s="8" t="s">
        <v>629</v>
      </c>
      <c r="I251" s="4" t="s">
        <v>630</v>
      </c>
      <c r="J251" s="4" t="s">
        <v>7</v>
      </c>
      <c r="K251" s="4" t="s">
        <v>162</v>
      </c>
      <c r="L251" s="4" t="s">
        <v>89</v>
      </c>
    </row>
    <row r="252" spans="1:12">
      <c r="A252" s="3" t="s">
        <v>631</v>
      </c>
      <c r="B252" s="19">
        <v>7992</v>
      </c>
      <c r="C252" s="8">
        <v>893</v>
      </c>
      <c r="D252" s="8">
        <v>12</v>
      </c>
      <c r="E252" s="8" t="s">
        <v>6</v>
      </c>
      <c r="F252" s="4" t="s">
        <v>17</v>
      </c>
      <c r="G252" s="4" t="s">
        <v>12</v>
      </c>
      <c r="H252" s="8" t="s">
        <v>632</v>
      </c>
      <c r="I252" s="4" t="s">
        <v>633</v>
      </c>
      <c r="J252" s="4" t="s">
        <v>22</v>
      </c>
      <c r="K252" s="4" t="s">
        <v>117</v>
      </c>
      <c r="L252" s="4" t="s">
        <v>92</v>
      </c>
    </row>
    <row r="253" spans="1:12">
      <c r="A253" s="5" t="s">
        <v>631</v>
      </c>
      <c r="B253" s="20">
        <v>7992</v>
      </c>
      <c r="C253" s="9">
        <v>893</v>
      </c>
      <c r="D253" s="9">
        <v>12</v>
      </c>
      <c r="E253" s="9" t="s">
        <v>6</v>
      </c>
      <c r="F253" s="6" t="s">
        <v>17</v>
      </c>
      <c r="G253" s="6" t="s">
        <v>12</v>
      </c>
      <c r="H253" s="11">
        <v>45021</v>
      </c>
      <c r="I253" s="6" t="s">
        <v>634</v>
      </c>
      <c r="J253" s="6" t="s">
        <v>19</v>
      </c>
      <c r="K253" s="6" t="s">
        <v>210</v>
      </c>
      <c r="L253" s="6" t="s">
        <v>76</v>
      </c>
    </row>
    <row r="254" spans="1:12">
      <c r="A254" s="3" t="s">
        <v>631</v>
      </c>
      <c r="B254" s="19">
        <v>7992</v>
      </c>
      <c r="C254" s="8">
        <v>893</v>
      </c>
      <c r="D254" s="8">
        <v>12</v>
      </c>
      <c r="E254" s="8" t="s">
        <v>6</v>
      </c>
      <c r="F254" s="4" t="s">
        <v>17</v>
      </c>
      <c r="G254" s="4" t="s">
        <v>12</v>
      </c>
      <c r="H254" s="8" t="s">
        <v>635</v>
      </c>
      <c r="I254" s="4" t="s">
        <v>636</v>
      </c>
      <c r="J254" s="4" t="s">
        <v>15</v>
      </c>
      <c r="K254" s="4" t="s">
        <v>132</v>
      </c>
      <c r="L254" s="4" t="s">
        <v>76</v>
      </c>
    </row>
    <row r="255" spans="1:12">
      <c r="A255" s="3" t="s">
        <v>637</v>
      </c>
      <c r="B255" s="19">
        <v>7967</v>
      </c>
      <c r="C255" s="8">
        <v>2504</v>
      </c>
      <c r="D255" s="8">
        <v>13</v>
      </c>
      <c r="E255" s="8" t="s">
        <v>6</v>
      </c>
      <c r="F255" s="4" t="s">
        <v>24</v>
      </c>
      <c r="G255" s="4" t="s">
        <v>20</v>
      </c>
      <c r="H255" s="10">
        <v>45261</v>
      </c>
      <c r="I255" s="4" t="s">
        <v>638</v>
      </c>
      <c r="J255" s="4" t="s">
        <v>19</v>
      </c>
      <c r="K255" s="4" t="s">
        <v>126</v>
      </c>
      <c r="L255" s="4" t="s">
        <v>72</v>
      </c>
    </row>
    <row r="256" spans="1:12">
      <c r="A256" s="5" t="s">
        <v>637</v>
      </c>
      <c r="B256" s="20">
        <v>7967</v>
      </c>
      <c r="C256" s="9">
        <v>2504</v>
      </c>
      <c r="D256" s="9">
        <v>13</v>
      </c>
      <c r="E256" s="9" t="s">
        <v>6</v>
      </c>
      <c r="F256" s="6" t="s">
        <v>24</v>
      </c>
      <c r="G256" s="6" t="s">
        <v>20</v>
      </c>
      <c r="H256" s="9" t="s">
        <v>639</v>
      </c>
      <c r="I256" s="6" t="s">
        <v>640</v>
      </c>
      <c r="J256" s="6" t="s">
        <v>22</v>
      </c>
      <c r="K256" s="6" t="s">
        <v>117</v>
      </c>
      <c r="L256" s="6" t="s">
        <v>76</v>
      </c>
    </row>
    <row r="257" spans="1:12">
      <c r="A257" s="3" t="s">
        <v>641</v>
      </c>
      <c r="B257" s="19">
        <v>7957</v>
      </c>
      <c r="C257" s="8">
        <v>2834</v>
      </c>
      <c r="D257" s="8">
        <v>12</v>
      </c>
      <c r="E257" s="8" t="s">
        <v>10</v>
      </c>
      <c r="F257" s="4" t="s">
        <v>30</v>
      </c>
      <c r="G257" s="4" t="s">
        <v>23</v>
      </c>
      <c r="H257" s="8" t="s">
        <v>642</v>
      </c>
      <c r="I257" s="4" t="s">
        <v>643</v>
      </c>
      <c r="J257" s="4" t="s">
        <v>7</v>
      </c>
      <c r="K257" s="4" t="s">
        <v>162</v>
      </c>
      <c r="L257" s="4" t="s">
        <v>59</v>
      </c>
    </row>
    <row r="258" spans="1:12">
      <c r="A258" s="5" t="s">
        <v>312</v>
      </c>
      <c r="B258" s="20">
        <v>7957</v>
      </c>
      <c r="C258" s="9">
        <v>965</v>
      </c>
      <c r="D258" s="9">
        <v>4</v>
      </c>
      <c r="E258" s="9" t="s">
        <v>10</v>
      </c>
      <c r="F258" s="6" t="s">
        <v>32</v>
      </c>
      <c r="G258" s="6" t="s">
        <v>12</v>
      </c>
      <c r="H258" s="9" t="s">
        <v>313</v>
      </c>
      <c r="I258" s="6" t="s">
        <v>314</v>
      </c>
      <c r="J258" s="6" t="s">
        <v>19</v>
      </c>
      <c r="K258" s="6" t="s">
        <v>108</v>
      </c>
      <c r="L258" s="6" t="s">
        <v>64</v>
      </c>
    </row>
    <row r="259" spans="1:12">
      <c r="A259" s="5" t="s">
        <v>644</v>
      </c>
      <c r="B259" s="20">
        <v>7952</v>
      </c>
      <c r="C259" s="9">
        <v>3865</v>
      </c>
      <c r="D259" s="9">
        <v>8</v>
      </c>
      <c r="E259" s="9" t="s">
        <v>10</v>
      </c>
      <c r="F259" s="6" t="s">
        <v>32</v>
      </c>
      <c r="G259" s="6" t="s">
        <v>16</v>
      </c>
      <c r="H259" s="11">
        <v>44112</v>
      </c>
      <c r="I259" s="6" t="s">
        <v>645</v>
      </c>
      <c r="J259" s="6" t="s">
        <v>15</v>
      </c>
      <c r="K259" s="6" t="s">
        <v>235</v>
      </c>
      <c r="L259" s="6" t="s">
        <v>39</v>
      </c>
    </row>
    <row r="260" spans="1:12">
      <c r="A260" s="5" t="s">
        <v>646</v>
      </c>
      <c r="B260" s="20">
        <v>7930</v>
      </c>
      <c r="C260" s="9">
        <v>1981</v>
      </c>
      <c r="D260" s="9">
        <v>13</v>
      </c>
      <c r="E260" s="9" t="s">
        <v>10</v>
      </c>
      <c r="F260" s="6" t="s">
        <v>30</v>
      </c>
      <c r="G260" s="6" t="s">
        <v>12</v>
      </c>
      <c r="H260" s="11">
        <v>45021</v>
      </c>
      <c r="I260" s="6" t="s">
        <v>647</v>
      </c>
      <c r="J260" s="6" t="s">
        <v>22</v>
      </c>
      <c r="K260" s="6" t="s">
        <v>117</v>
      </c>
      <c r="L260" s="6" t="s">
        <v>76</v>
      </c>
    </row>
    <row r="261" spans="1:12">
      <c r="A261" s="3" t="s">
        <v>646</v>
      </c>
      <c r="B261" s="19">
        <v>7930</v>
      </c>
      <c r="C261" s="8">
        <v>1981</v>
      </c>
      <c r="D261" s="8">
        <v>13</v>
      </c>
      <c r="E261" s="8" t="s">
        <v>10</v>
      </c>
      <c r="F261" s="4" t="s">
        <v>30</v>
      </c>
      <c r="G261" s="4" t="s">
        <v>12</v>
      </c>
      <c r="H261" s="10">
        <v>45543</v>
      </c>
      <c r="I261" s="4" t="s">
        <v>648</v>
      </c>
      <c r="J261" s="4" t="s">
        <v>15</v>
      </c>
      <c r="K261" s="4" t="s">
        <v>171</v>
      </c>
      <c r="L261" s="4" t="s">
        <v>91</v>
      </c>
    </row>
    <row r="262" spans="1:12">
      <c r="A262" s="5" t="s">
        <v>649</v>
      </c>
      <c r="B262" s="20">
        <v>7909</v>
      </c>
      <c r="C262" s="9">
        <v>1942</v>
      </c>
      <c r="D262" s="9">
        <v>19</v>
      </c>
      <c r="E262" s="9" t="s">
        <v>6</v>
      </c>
      <c r="F262" s="6" t="s">
        <v>21</v>
      </c>
      <c r="G262" s="6" t="s">
        <v>8</v>
      </c>
      <c r="H262" s="9" t="s">
        <v>650</v>
      </c>
      <c r="I262" s="6" t="s">
        <v>651</v>
      </c>
      <c r="J262" s="6" t="s">
        <v>11</v>
      </c>
      <c r="K262" s="6" t="s">
        <v>120</v>
      </c>
      <c r="L262" s="6" t="s">
        <v>85</v>
      </c>
    </row>
    <row r="263" spans="1:12">
      <c r="A263" s="5" t="s">
        <v>652</v>
      </c>
      <c r="B263" s="20">
        <v>7900</v>
      </c>
      <c r="C263" s="9">
        <v>482</v>
      </c>
      <c r="D263" s="9">
        <v>4</v>
      </c>
      <c r="E263" s="9" t="s">
        <v>6</v>
      </c>
      <c r="F263" s="6" t="s">
        <v>21</v>
      </c>
      <c r="G263" s="6" t="s">
        <v>8</v>
      </c>
      <c r="H263" s="11">
        <v>45872</v>
      </c>
      <c r="I263" s="6" t="s">
        <v>653</v>
      </c>
      <c r="J263" s="6" t="s">
        <v>22</v>
      </c>
      <c r="K263" s="6" t="s">
        <v>179</v>
      </c>
      <c r="L263" s="6" t="s">
        <v>98</v>
      </c>
    </row>
    <row r="264" spans="1:12">
      <c r="A264" s="3" t="s">
        <v>654</v>
      </c>
      <c r="B264" s="19">
        <v>7895</v>
      </c>
      <c r="C264" s="8">
        <v>1005</v>
      </c>
      <c r="D264" s="8">
        <v>1</v>
      </c>
      <c r="E264" s="8" t="s">
        <v>10</v>
      </c>
      <c r="F264" s="4" t="s">
        <v>30</v>
      </c>
      <c r="G264" s="4" t="s">
        <v>12</v>
      </c>
      <c r="H264" s="8" t="s">
        <v>655</v>
      </c>
      <c r="I264" s="4" t="s">
        <v>656</v>
      </c>
      <c r="J264" s="4" t="s">
        <v>22</v>
      </c>
      <c r="K264" s="4" t="s">
        <v>223</v>
      </c>
      <c r="L264" s="4" t="s">
        <v>81</v>
      </c>
    </row>
    <row r="265" spans="1:12">
      <c r="A265" s="5" t="s">
        <v>654</v>
      </c>
      <c r="B265" s="20">
        <v>7895</v>
      </c>
      <c r="C265" s="9">
        <v>1005</v>
      </c>
      <c r="D265" s="9">
        <v>1</v>
      </c>
      <c r="E265" s="9" t="s">
        <v>10</v>
      </c>
      <c r="F265" s="6" t="s">
        <v>30</v>
      </c>
      <c r="G265" s="6" t="s">
        <v>12</v>
      </c>
      <c r="H265" s="11">
        <v>45660</v>
      </c>
      <c r="I265" s="6" t="s">
        <v>657</v>
      </c>
      <c r="J265" s="6" t="s">
        <v>7</v>
      </c>
      <c r="K265" s="6" t="s">
        <v>162</v>
      </c>
      <c r="L265" s="6" t="s">
        <v>98</v>
      </c>
    </row>
    <row r="266" spans="1:12">
      <c r="A266" s="3" t="s">
        <v>658</v>
      </c>
      <c r="B266" s="19">
        <v>7870</v>
      </c>
      <c r="C266" s="8">
        <v>1057</v>
      </c>
      <c r="D266" s="8">
        <v>15</v>
      </c>
      <c r="E266" s="8" t="s">
        <v>14</v>
      </c>
      <c r="F266" s="4" t="s">
        <v>44</v>
      </c>
      <c r="G266" s="4" t="s">
        <v>12</v>
      </c>
      <c r="H266" s="8" t="s">
        <v>555</v>
      </c>
      <c r="I266" s="4" t="s">
        <v>659</v>
      </c>
      <c r="J266" s="4" t="s">
        <v>25</v>
      </c>
      <c r="K266" s="4" t="s">
        <v>253</v>
      </c>
      <c r="L266" s="4" t="s">
        <v>81</v>
      </c>
    </row>
    <row r="267" spans="1:12">
      <c r="A267" s="5" t="s">
        <v>658</v>
      </c>
      <c r="B267" s="20">
        <v>7870</v>
      </c>
      <c r="C267" s="9">
        <v>1057</v>
      </c>
      <c r="D267" s="9">
        <v>15</v>
      </c>
      <c r="E267" s="9" t="s">
        <v>14</v>
      </c>
      <c r="F267" s="6" t="s">
        <v>44</v>
      </c>
      <c r="G267" s="6" t="s">
        <v>12</v>
      </c>
      <c r="H267" s="9" t="s">
        <v>660</v>
      </c>
      <c r="I267" s="6" t="s">
        <v>661</v>
      </c>
      <c r="J267" s="6" t="s">
        <v>22</v>
      </c>
      <c r="K267" s="6" t="s">
        <v>117</v>
      </c>
      <c r="L267" s="6" t="s">
        <v>50</v>
      </c>
    </row>
    <row r="268" spans="1:12">
      <c r="A268" s="3" t="s">
        <v>662</v>
      </c>
      <c r="B268" s="19">
        <v>7856</v>
      </c>
      <c r="C268" s="8">
        <v>3699</v>
      </c>
      <c r="D268" s="8">
        <v>17</v>
      </c>
      <c r="E268" s="8" t="s">
        <v>6</v>
      </c>
      <c r="F268" s="4" t="s">
        <v>13</v>
      </c>
      <c r="G268" s="4" t="s">
        <v>23</v>
      </c>
      <c r="H268" s="8" t="s">
        <v>663</v>
      </c>
      <c r="I268" s="4" t="s">
        <v>664</v>
      </c>
      <c r="J268" s="4" t="s">
        <v>11</v>
      </c>
      <c r="K268" s="4" t="s">
        <v>120</v>
      </c>
      <c r="L268" s="4" t="s">
        <v>50</v>
      </c>
    </row>
    <row r="269" spans="1:12">
      <c r="A269" s="5" t="s">
        <v>665</v>
      </c>
      <c r="B269" s="20">
        <v>7846</v>
      </c>
      <c r="C269" s="9">
        <v>677</v>
      </c>
      <c r="D269" s="9">
        <v>12</v>
      </c>
      <c r="E269" s="9" t="s">
        <v>10</v>
      </c>
      <c r="F269" s="6" t="s">
        <v>30</v>
      </c>
      <c r="G269" s="6" t="s">
        <v>23</v>
      </c>
      <c r="H269" s="9" t="s">
        <v>666</v>
      </c>
      <c r="I269" s="6" t="s">
        <v>667</v>
      </c>
      <c r="J269" s="6" t="s">
        <v>15</v>
      </c>
      <c r="K269" s="6" t="s">
        <v>171</v>
      </c>
      <c r="L269" s="6" t="s">
        <v>69</v>
      </c>
    </row>
    <row r="270" spans="1:12">
      <c r="A270" s="3" t="s">
        <v>665</v>
      </c>
      <c r="B270" s="19">
        <v>7846</v>
      </c>
      <c r="C270" s="8">
        <v>677</v>
      </c>
      <c r="D270" s="8">
        <v>12</v>
      </c>
      <c r="E270" s="8" t="s">
        <v>10</v>
      </c>
      <c r="F270" s="4" t="s">
        <v>30</v>
      </c>
      <c r="G270" s="4" t="s">
        <v>23</v>
      </c>
      <c r="H270" s="8" t="s">
        <v>668</v>
      </c>
      <c r="I270" s="4" t="s">
        <v>669</v>
      </c>
      <c r="J270" s="4" t="s">
        <v>7</v>
      </c>
      <c r="K270" s="4" t="s">
        <v>124</v>
      </c>
      <c r="L270" s="4" t="s">
        <v>43</v>
      </c>
    </row>
    <row r="271" spans="1:12">
      <c r="A271" s="5" t="s">
        <v>339</v>
      </c>
      <c r="B271" s="20">
        <v>7838</v>
      </c>
      <c r="C271" s="9">
        <v>1142</v>
      </c>
      <c r="D271" s="9">
        <v>13</v>
      </c>
      <c r="E271" s="9" t="s">
        <v>6</v>
      </c>
      <c r="F271" s="6" t="s">
        <v>21</v>
      </c>
      <c r="G271" s="6" t="s">
        <v>23</v>
      </c>
      <c r="H271" s="9" t="s">
        <v>340</v>
      </c>
      <c r="I271" s="6" t="s">
        <v>341</v>
      </c>
      <c r="J271" s="6" t="s">
        <v>7</v>
      </c>
      <c r="K271" s="6" t="s">
        <v>124</v>
      </c>
      <c r="L271" s="6" t="s">
        <v>49</v>
      </c>
    </row>
    <row r="272" spans="1:12">
      <c r="A272" s="3" t="s">
        <v>199</v>
      </c>
      <c r="B272" s="19">
        <v>7826</v>
      </c>
      <c r="C272" s="8">
        <v>1221</v>
      </c>
      <c r="D272" s="8">
        <v>14</v>
      </c>
      <c r="E272" s="8" t="s">
        <v>10</v>
      </c>
      <c r="F272" s="4" t="s">
        <v>28</v>
      </c>
      <c r="G272" s="4" t="s">
        <v>23</v>
      </c>
      <c r="H272" s="10">
        <v>44840</v>
      </c>
      <c r="I272" s="4" t="s">
        <v>200</v>
      </c>
      <c r="J272" s="4" t="s">
        <v>25</v>
      </c>
      <c r="K272" s="4" t="s">
        <v>129</v>
      </c>
      <c r="L272" s="4" t="s">
        <v>65</v>
      </c>
    </row>
    <row r="273" spans="1:12">
      <c r="A273" s="5" t="s">
        <v>199</v>
      </c>
      <c r="B273" s="20">
        <v>7826</v>
      </c>
      <c r="C273" s="9">
        <v>1221</v>
      </c>
      <c r="D273" s="9">
        <v>14</v>
      </c>
      <c r="E273" s="9" t="s">
        <v>10</v>
      </c>
      <c r="F273" s="6" t="s">
        <v>28</v>
      </c>
      <c r="G273" s="6" t="s">
        <v>23</v>
      </c>
      <c r="H273" s="9" t="s">
        <v>201</v>
      </c>
      <c r="I273" s="6" t="s">
        <v>202</v>
      </c>
      <c r="J273" s="6" t="s">
        <v>11</v>
      </c>
      <c r="K273" s="6" t="s">
        <v>120</v>
      </c>
      <c r="L273" s="6" t="s">
        <v>58</v>
      </c>
    </row>
    <row r="274" spans="1:12">
      <c r="A274" s="3" t="s">
        <v>199</v>
      </c>
      <c r="B274" s="19">
        <v>7826</v>
      </c>
      <c r="C274" s="8">
        <v>1221</v>
      </c>
      <c r="D274" s="8">
        <v>14</v>
      </c>
      <c r="E274" s="8" t="s">
        <v>10</v>
      </c>
      <c r="F274" s="4" t="s">
        <v>28</v>
      </c>
      <c r="G274" s="4" t="s">
        <v>23</v>
      </c>
      <c r="H274" s="8" t="s">
        <v>203</v>
      </c>
      <c r="I274" s="4" t="s">
        <v>204</v>
      </c>
      <c r="J274" s="4" t="s">
        <v>7</v>
      </c>
      <c r="K274" s="4" t="s">
        <v>205</v>
      </c>
      <c r="L274" s="4" t="s">
        <v>67</v>
      </c>
    </row>
    <row r="275" spans="1:12">
      <c r="A275" s="3" t="s">
        <v>670</v>
      </c>
      <c r="B275" s="19">
        <v>7821</v>
      </c>
      <c r="C275" s="8">
        <v>3821</v>
      </c>
      <c r="D275" s="8">
        <v>13</v>
      </c>
      <c r="E275" s="8" t="s">
        <v>6</v>
      </c>
      <c r="F275" s="4" t="s">
        <v>17</v>
      </c>
      <c r="G275" s="4" t="s">
        <v>20</v>
      </c>
      <c r="H275" s="10">
        <v>44356</v>
      </c>
      <c r="I275" s="4" t="s">
        <v>671</v>
      </c>
      <c r="J275" s="4" t="s">
        <v>15</v>
      </c>
      <c r="K275" s="4" t="s">
        <v>235</v>
      </c>
      <c r="L275" s="4" t="s">
        <v>56</v>
      </c>
    </row>
    <row r="276" spans="1:12">
      <c r="A276" s="5" t="s">
        <v>672</v>
      </c>
      <c r="B276" s="20">
        <v>7811</v>
      </c>
      <c r="C276" s="9">
        <v>1538</v>
      </c>
      <c r="D276" s="9">
        <v>12</v>
      </c>
      <c r="E276" s="9" t="s">
        <v>10</v>
      </c>
      <c r="F276" s="6" t="s">
        <v>32</v>
      </c>
      <c r="G276" s="6" t="s">
        <v>8</v>
      </c>
      <c r="H276" s="9" t="s">
        <v>673</v>
      </c>
      <c r="I276" s="6" t="s">
        <v>674</v>
      </c>
      <c r="J276" s="6" t="s">
        <v>11</v>
      </c>
      <c r="K276" s="6" t="s">
        <v>156</v>
      </c>
      <c r="L276" s="6" t="s">
        <v>62</v>
      </c>
    </row>
    <row r="277" spans="1:12">
      <c r="A277" s="5" t="s">
        <v>675</v>
      </c>
      <c r="B277" s="20">
        <v>7806</v>
      </c>
      <c r="C277" s="9">
        <v>1127</v>
      </c>
      <c r="D277" s="9">
        <v>1</v>
      </c>
      <c r="E277" s="9" t="s">
        <v>14</v>
      </c>
      <c r="F277" s="6" t="s">
        <v>40</v>
      </c>
      <c r="G277" s="6" t="s">
        <v>12</v>
      </c>
      <c r="H277" s="9" t="s">
        <v>676</v>
      </c>
      <c r="I277" s="6" t="s">
        <v>677</v>
      </c>
      <c r="J277" s="6" t="s">
        <v>25</v>
      </c>
      <c r="K277" s="6" t="s">
        <v>129</v>
      </c>
      <c r="L277" s="6" t="s">
        <v>78</v>
      </c>
    </row>
    <row r="278" spans="1:12">
      <c r="A278" s="3" t="s">
        <v>678</v>
      </c>
      <c r="B278" s="19">
        <v>7792</v>
      </c>
      <c r="C278" s="8">
        <v>1403</v>
      </c>
      <c r="D278" s="8">
        <v>13</v>
      </c>
      <c r="E278" s="8" t="s">
        <v>14</v>
      </c>
      <c r="F278" s="4" t="s">
        <v>42</v>
      </c>
      <c r="G278" s="4" t="s">
        <v>23</v>
      </c>
      <c r="H278" s="10">
        <v>44532</v>
      </c>
      <c r="I278" s="4" t="s">
        <v>679</v>
      </c>
      <c r="J278" s="4" t="s">
        <v>15</v>
      </c>
      <c r="K278" s="4" t="s">
        <v>235</v>
      </c>
      <c r="L278" s="4" t="s">
        <v>49</v>
      </c>
    </row>
    <row r="279" spans="1:12">
      <c r="A279" s="5" t="s">
        <v>678</v>
      </c>
      <c r="B279" s="20">
        <v>7792</v>
      </c>
      <c r="C279" s="9">
        <v>1403</v>
      </c>
      <c r="D279" s="9">
        <v>13</v>
      </c>
      <c r="E279" s="9" t="s">
        <v>14</v>
      </c>
      <c r="F279" s="6" t="s">
        <v>42</v>
      </c>
      <c r="G279" s="6" t="s">
        <v>23</v>
      </c>
      <c r="H279" s="9" t="s">
        <v>680</v>
      </c>
      <c r="I279" s="6" t="s">
        <v>681</v>
      </c>
      <c r="J279" s="6" t="s">
        <v>19</v>
      </c>
      <c r="K279" s="6" t="s">
        <v>108</v>
      </c>
      <c r="L279" s="6" t="s">
        <v>71</v>
      </c>
    </row>
    <row r="280" spans="1:12">
      <c r="A280" s="3" t="s">
        <v>678</v>
      </c>
      <c r="B280" s="19">
        <v>7792</v>
      </c>
      <c r="C280" s="8">
        <v>1403</v>
      </c>
      <c r="D280" s="8">
        <v>13</v>
      </c>
      <c r="E280" s="8" t="s">
        <v>14</v>
      </c>
      <c r="F280" s="4" t="s">
        <v>42</v>
      </c>
      <c r="G280" s="4" t="s">
        <v>23</v>
      </c>
      <c r="H280" s="8" t="s">
        <v>682</v>
      </c>
      <c r="I280" s="4" t="s">
        <v>683</v>
      </c>
      <c r="J280" s="4" t="s">
        <v>7</v>
      </c>
      <c r="K280" s="4" t="s">
        <v>162</v>
      </c>
      <c r="L280" s="4" t="s">
        <v>84</v>
      </c>
    </row>
    <row r="281" spans="1:12">
      <c r="A281" s="3" t="s">
        <v>684</v>
      </c>
      <c r="B281" s="19">
        <v>7786</v>
      </c>
      <c r="C281" s="8">
        <v>1202</v>
      </c>
      <c r="D281" s="8">
        <v>4</v>
      </c>
      <c r="E281" s="8" t="s">
        <v>10</v>
      </c>
      <c r="F281" s="4" t="s">
        <v>32</v>
      </c>
      <c r="G281" s="4" t="s">
        <v>20</v>
      </c>
      <c r="H281" s="8" t="s">
        <v>685</v>
      </c>
      <c r="I281" s="4" t="s">
        <v>686</v>
      </c>
      <c r="J281" s="4" t="s">
        <v>15</v>
      </c>
      <c r="K281" s="4" t="s">
        <v>235</v>
      </c>
      <c r="L281" s="4" t="s">
        <v>35</v>
      </c>
    </row>
    <row r="282" spans="1:12">
      <c r="A282" s="5" t="s">
        <v>687</v>
      </c>
      <c r="B282" s="20">
        <v>7784</v>
      </c>
      <c r="C282" s="9">
        <v>2937</v>
      </c>
      <c r="D282" s="9">
        <v>12</v>
      </c>
      <c r="E282" s="9" t="s">
        <v>14</v>
      </c>
      <c r="F282" s="6" t="s">
        <v>40</v>
      </c>
      <c r="G282" s="6" t="s">
        <v>23</v>
      </c>
      <c r="H282" s="11">
        <v>45451</v>
      </c>
      <c r="I282" s="6" t="s">
        <v>688</v>
      </c>
      <c r="J282" s="6" t="s">
        <v>7</v>
      </c>
      <c r="K282" s="6" t="s">
        <v>124</v>
      </c>
      <c r="L282" s="6" t="s">
        <v>91</v>
      </c>
    </row>
    <row r="283" spans="1:12">
      <c r="A283" s="5" t="s">
        <v>689</v>
      </c>
      <c r="B283" s="20">
        <v>7759</v>
      </c>
      <c r="C283" s="9">
        <v>3741</v>
      </c>
      <c r="D283" s="9">
        <v>17</v>
      </c>
      <c r="E283" s="9" t="s">
        <v>6</v>
      </c>
      <c r="F283" s="6" t="s">
        <v>24</v>
      </c>
      <c r="G283" s="6" t="s">
        <v>23</v>
      </c>
      <c r="H283" s="9" t="s">
        <v>663</v>
      </c>
      <c r="I283" s="6" t="s">
        <v>690</v>
      </c>
      <c r="J283" s="6" t="s">
        <v>11</v>
      </c>
      <c r="K283" s="6" t="s">
        <v>156</v>
      </c>
      <c r="L283" s="6" t="s">
        <v>50</v>
      </c>
    </row>
    <row r="284" spans="1:12">
      <c r="A284" s="3" t="s">
        <v>689</v>
      </c>
      <c r="B284" s="19">
        <v>7759</v>
      </c>
      <c r="C284" s="8">
        <v>3741</v>
      </c>
      <c r="D284" s="8">
        <v>17</v>
      </c>
      <c r="E284" s="8" t="s">
        <v>6</v>
      </c>
      <c r="F284" s="4" t="s">
        <v>24</v>
      </c>
      <c r="G284" s="4" t="s">
        <v>23</v>
      </c>
      <c r="H284" s="10">
        <v>45809</v>
      </c>
      <c r="I284" s="4" t="s">
        <v>691</v>
      </c>
      <c r="J284" s="4" t="s">
        <v>25</v>
      </c>
      <c r="K284" s="4" t="s">
        <v>129</v>
      </c>
      <c r="L284" s="4" t="s">
        <v>96</v>
      </c>
    </row>
    <row r="285" spans="1:12">
      <c r="A285" s="3" t="s">
        <v>692</v>
      </c>
      <c r="B285" s="19">
        <v>7748</v>
      </c>
      <c r="C285" s="8">
        <v>1706</v>
      </c>
      <c r="D285" s="8">
        <v>16</v>
      </c>
      <c r="E285" s="8" t="s">
        <v>6</v>
      </c>
      <c r="F285" s="4" t="s">
        <v>13</v>
      </c>
      <c r="G285" s="4" t="s">
        <v>20</v>
      </c>
      <c r="H285" s="10">
        <v>43866</v>
      </c>
      <c r="I285" s="4" t="s">
        <v>693</v>
      </c>
      <c r="J285" s="4" t="s">
        <v>22</v>
      </c>
      <c r="K285" s="4" t="s">
        <v>223</v>
      </c>
      <c r="L285" s="4" t="s">
        <v>33</v>
      </c>
    </row>
    <row r="286" spans="1:12">
      <c r="A286" s="5" t="s">
        <v>536</v>
      </c>
      <c r="B286" s="20">
        <v>7733</v>
      </c>
      <c r="C286" s="9">
        <v>2784</v>
      </c>
      <c r="D286" s="9">
        <v>15</v>
      </c>
      <c r="E286" s="9" t="s">
        <v>10</v>
      </c>
      <c r="F286" s="6" t="s">
        <v>34</v>
      </c>
      <c r="G286" s="6" t="s">
        <v>20</v>
      </c>
      <c r="H286" s="9" t="s">
        <v>537</v>
      </c>
      <c r="I286" s="6" t="s">
        <v>538</v>
      </c>
      <c r="J286" s="6" t="s">
        <v>11</v>
      </c>
      <c r="K286" s="6" t="s">
        <v>120</v>
      </c>
      <c r="L286" s="6" t="s">
        <v>89</v>
      </c>
    </row>
    <row r="287" spans="1:12">
      <c r="A287" s="3" t="s">
        <v>163</v>
      </c>
      <c r="B287" s="19">
        <v>7702</v>
      </c>
      <c r="C287" s="8">
        <v>60</v>
      </c>
      <c r="D287" s="8">
        <v>19</v>
      </c>
      <c r="E287" s="8" t="s">
        <v>6</v>
      </c>
      <c r="F287" s="4" t="s">
        <v>24</v>
      </c>
      <c r="G287" s="4" t="s">
        <v>23</v>
      </c>
      <c r="H287" s="10">
        <v>43925</v>
      </c>
      <c r="I287" s="4" t="s">
        <v>164</v>
      </c>
      <c r="J287" s="4" t="s">
        <v>11</v>
      </c>
      <c r="K287" s="4" t="s">
        <v>156</v>
      </c>
      <c r="L287" s="4" t="s">
        <v>31</v>
      </c>
    </row>
    <row r="288" spans="1:12">
      <c r="A288" s="3" t="s">
        <v>694</v>
      </c>
      <c r="B288" s="19">
        <v>7700</v>
      </c>
      <c r="C288" s="8">
        <v>2712</v>
      </c>
      <c r="D288" s="8">
        <v>1</v>
      </c>
      <c r="E288" s="8" t="s">
        <v>10</v>
      </c>
      <c r="F288" s="4" t="s">
        <v>32</v>
      </c>
      <c r="G288" s="4" t="s">
        <v>12</v>
      </c>
      <c r="H288" s="10">
        <v>45118</v>
      </c>
      <c r="I288" s="4" t="s">
        <v>695</v>
      </c>
      <c r="J288" s="4" t="s">
        <v>11</v>
      </c>
      <c r="K288" s="4" t="s">
        <v>120</v>
      </c>
      <c r="L288" s="4" t="s">
        <v>82</v>
      </c>
    </row>
    <row r="289" spans="1:12">
      <c r="A289" s="5" t="s">
        <v>694</v>
      </c>
      <c r="B289" s="20">
        <v>7700</v>
      </c>
      <c r="C289" s="9">
        <v>2712</v>
      </c>
      <c r="D289" s="9">
        <v>1</v>
      </c>
      <c r="E289" s="9" t="s">
        <v>10</v>
      </c>
      <c r="F289" s="6" t="s">
        <v>32</v>
      </c>
      <c r="G289" s="6" t="s">
        <v>12</v>
      </c>
      <c r="H289" s="9" t="s">
        <v>188</v>
      </c>
      <c r="I289" s="6" t="s">
        <v>696</v>
      </c>
      <c r="J289" s="6" t="s">
        <v>15</v>
      </c>
      <c r="K289" s="6" t="s">
        <v>132</v>
      </c>
      <c r="L289" s="6" t="s">
        <v>87</v>
      </c>
    </row>
    <row r="290" spans="1:12">
      <c r="A290" s="3" t="s">
        <v>697</v>
      </c>
      <c r="B290" s="19">
        <v>7699</v>
      </c>
      <c r="C290" s="8">
        <v>246</v>
      </c>
      <c r="D290" s="8">
        <v>5</v>
      </c>
      <c r="E290" s="8" t="s">
        <v>6</v>
      </c>
      <c r="F290" s="4" t="s">
        <v>13</v>
      </c>
      <c r="G290" s="4" t="s">
        <v>16</v>
      </c>
      <c r="H290" s="8" t="s">
        <v>698</v>
      </c>
      <c r="I290" s="4" t="s">
        <v>699</v>
      </c>
      <c r="J290" s="4" t="s">
        <v>25</v>
      </c>
      <c r="K290" s="4" t="s">
        <v>111</v>
      </c>
      <c r="L290" s="4" t="s">
        <v>80</v>
      </c>
    </row>
    <row r="291" spans="1:12">
      <c r="A291" s="3" t="s">
        <v>700</v>
      </c>
      <c r="B291" s="19">
        <v>7690</v>
      </c>
      <c r="C291" s="8">
        <v>1134</v>
      </c>
      <c r="D291" s="8">
        <v>4</v>
      </c>
      <c r="E291" s="8" t="s">
        <v>6</v>
      </c>
      <c r="F291" s="4" t="s">
        <v>13</v>
      </c>
      <c r="G291" s="4" t="s">
        <v>8</v>
      </c>
      <c r="H291" s="8" t="s">
        <v>701</v>
      </c>
      <c r="I291" s="4" t="s">
        <v>702</v>
      </c>
      <c r="J291" s="4" t="s">
        <v>19</v>
      </c>
      <c r="K291" s="4" t="s">
        <v>108</v>
      </c>
      <c r="L291" s="4" t="s">
        <v>81</v>
      </c>
    </row>
    <row r="292" spans="1:12">
      <c r="A292" s="3" t="s">
        <v>703</v>
      </c>
      <c r="B292" s="19">
        <v>7684</v>
      </c>
      <c r="C292" s="8">
        <v>1157</v>
      </c>
      <c r="D292" s="8">
        <v>12</v>
      </c>
      <c r="E292" s="8" t="s">
        <v>10</v>
      </c>
      <c r="F292" s="4" t="s">
        <v>32</v>
      </c>
      <c r="G292" s="4" t="s">
        <v>8</v>
      </c>
      <c r="H292" s="10">
        <v>43871</v>
      </c>
      <c r="I292" s="4" t="s">
        <v>704</v>
      </c>
      <c r="J292" s="4" t="s">
        <v>15</v>
      </c>
      <c r="K292" s="4" t="s">
        <v>132</v>
      </c>
      <c r="L292" s="4" t="s">
        <v>43</v>
      </c>
    </row>
    <row r="293" spans="1:12">
      <c r="A293" s="5" t="s">
        <v>703</v>
      </c>
      <c r="B293" s="20">
        <v>7684</v>
      </c>
      <c r="C293" s="9">
        <v>1157</v>
      </c>
      <c r="D293" s="9">
        <v>12</v>
      </c>
      <c r="E293" s="9" t="s">
        <v>10</v>
      </c>
      <c r="F293" s="6" t="s">
        <v>32</v>
      </c>
      <c r="G293" s="6" t="s">
        <v>8</v>
      </c>
      <c r="H293" s="9" t="s">
        <v>685</v>
      </c>
      <c r="I293" s="6" t="s">
        <v>705</v>
      </c>
      <c r="J293" s="6" t="s">
        <v>19</v>
      </c>
      <c r="K293" s="6" t="s">
        <v>126</v>
      </c>
      <c r="L293" s="6" t="s">
        <v>35</v>
      </c>
    </row>
    <row r="294" spans="1:12">
      <c r="A294" s="3" t="s">
        <v>703</v>
      </c>
      <c r="B294" s="19">
        <v>7684</v>
      </c>
      <c r="C294" s="8">
        <v>1157</v>
      </c>
      <c r="D294" s="8">
        <v>12</v>
      </c>
      <c r="E294" s="8" t="s">
        <v>10</v>
      </c>
      <c r="F294" s="4" t="s">
        <v>32</v>
      </c>
      <c r="G294" s="4" t="s">
        <v>8</v>
      </c>
      <c r="H294" s="8" t="s">
        <v>573</v>
      </c>
      <c r="I294" s="4" t="s">
        <v>706</v>
      </c>
      <c r="J294" s="4" t="s">
        <v>22</v>
      </c>
      <c r="K294" s="4" t="s">
        <v>179</v>
      </c>
      <c r="L294" s="4" t="s">
        <v>79</v>
      </c>
    </row>
    <row r="295" spans="1:12">
      <c r="A295" s="3" t="s">
        <v>707</v>
      </c>
      <c r="B295" s="19">
        <v>7664</v>
      </c>
      <c r="C295" s="8">
        <v>1753</v>
      </c>
      <c r="D295" s="8">
        <v>19</v>
      </c>
      <c r="E295" s="8" t="s">
        <v>6</v>
      </c>
      <c r="F295" s="4" t="s">
        <v>21</v>
      </c>
      <c r="G295" s="4" t="s">
        <v>16</v>
      </c>
      <c r="H295" s="8" t="s">
        <v>708</v>
      </c>
      <c r="I295" s="4" t="s">
        <v>709</v>
      </c>
      <c r="J295" s="4" t="s">
        <v>22</v>
      </c>
      <c r="K295" s="4" t="s">
        <v>223</v>
      </c>
      <c r="L295" s="4" t="s">
        <v>77</v>
      </c>
    </row>
    <row r="296" spans="1:12">
      <c r="A296" s="5" t="s">
        <v>710</v>
      </c>
      <c r="B296" s="20">
        <v>7644</v>
      </c>
      <c r="C296" s="9">
        <v>2428</v>
      </c>
      <c r="D296" s="9">
        <v>6</v>
      </c>
      <c r="E296" s="9" t="s">
        <v>6</v>
      </c>
      <c r="F296" s="6" t="s">
        <v>21</v>
      </c>
      <c r="G296" s="6" t="s">
        <v>16</v>
      </c>
      <c r="H296" s="9" t="s">
        <v>711</v>
      </c>
      <c r="I296" s="6" t="s">
        <v>712</v>
      </c>
      <c r="J296" s="6" t="s">
        <v>15</v>
      </c>
      <c r="K296" s="6" t="s">
        <v>171</v>
      </c>
      <c r="L296" s="6" t="s">
        <v>60</v>
      </c>
    </row>
    <row r="297" spans="1:12">
      <c r="A297" s="3" t="s">
        <v>713</v>
      </c>
      <c r="B297" s="19">
        <v>7643</v>
      </c>
      <c r="C297" s="8">
        <v>3720</v>
      </c>
      <c r="D297" s="8">
        <v>19</v>
      </c>
      <c r="E297" s="8" t="s">
        <v>6</v>
      </c>
      <c r="F297" s="4" t="s">
        <v>13</v>
      </c>
      <c r="G297" s="4" t="s">
        <v>20</v>
      </c>
      <c r="H297" s="8" t="s">
        <v>714</v>
      </c>
      <c r="I297" s="4" t="s">
        <v>715</v>
      </c>
      <c r="J297" s="4" t="s">
        <v>25</v>
      </c>
      <c r="K297" s="4" t="s">
        <v>129</v>
      </c>
      <c r="L297" s="4" t="s">
        <v>66</v>
      </c>
    </row>
    <row r="298" spans="1:12">
      <c r="A298" s="5" t="s">
        <v>716</v>
      </c>
      <c r="B298" s="20">
        <v>7633</v>
      </c>
      <c r="C298" s="9">
        <v>184</v>
      </c>
      <c r="D298" s="9">
        <v>13</v>
      </c>
      <c r="E298" s="9" t="s">
        <v>14</v>
      </c>
      <c r="F298" s="6" t="s">
        <v>44</v>
      </c>
      <c r="G298" s="6" t="s">
        <v>8</v>
      </c>
      <c r="H298" s="9" t="s">
        <v>717</v>
      </c>
      <c r="I298" s="6" t="s">
        <v>718</v>
      </c>
      <c r="J298" s="6" t="s">
        <v>15</v>
      </c>
      <c r="K298" s="6" t="s">
        <v>171</v>
      </c>
      <c r="L298" s="6" t="s">
        <v>56</v>
      </c>
    </row>
    <row r="299" spans="1:12">
      <c r="A299" s="5" t="s">
        <v>719</v>
      </c>
      <c r="B299" s="20">
        <v>7626</v>
      </c>
      <c r="C299" s="9">
        <v>1046</v>
      </c>
      <c r="D299" s="9">
        <v>15</v>
      </c>
      <c r="E299" s="9" t="s">
        <v>10</v>
      </c>
      <c r="F299" s="6" t="s">
        <v>32</v>
      </c>
      <c r="G299" s="6" t="s">
        <v>12</v>
      </c>
      <c r="H299" s="11">
        <v>43926</v>
      </c>
      <c r="I299" s="6" t="s">
        <v>720</v>
      </c>
      <c r="J299" s="6" t="s">
        <v>11</v>
      </c>
      <c r="K299" s="6" t="s">
        <v>120</v>
      </c>
      <c r="L299" s="6" t="s">
        <v>33</v>
      </c>
    </row>
    <row r="300" spans="1:12">
      <c r="A300" s="3" t="s">
        <v>721</v>
      </c>
      <c r="B300" s="19">
        <v>7626</v>
      </c>
      <c r="C300" s="8">
        <v>229</v>
      </c>
      <c r="D300" s="8">
        <v>5</v>
      </c>
      <c r="E300" s="8" t="s">
        <v>14</v>
      </c>
      <c r="F300" s="4" t="s">
        <v>44</v>
      </c>
      <c r="G300" s="4" t="s">
        <v>20</v>
      </c>
      <c r="H300" s="10">
        <v>45598</v>
      </c>
      <c r="I300" s="4" t="s">
        <v>722</v>
      </c>
      <c r="J300" s="4" t="s">
        <v>15</v>
      </c>
      <c r="K300" s="4" t="s">
        <v>171</v>
      </c>
      <c r="L300" s="4" t="s">
        <v>85</v>
      </c>
    </row>
    <row r="301" spans="1:12">
      <c r="A301" s="5" t="s">
        <v>721</v>
      </c>
      <c r="B301" s="20">
        <v>7626</v>
      </c>
      <c r="C301" s="9">
        <v>229</v>
      </c>
      <c r="D301" s="9">
        <v>5</v>
      </c>
      <c r="E301" s="9" t="s">
        <v>14</v>
      </c>
      <c r="F301" s="6" t="s">
        <v>44</v>
      </c>
      <c r="G301" s="6" t="s">
        <v>20</v>
      </c>
      <c r="H301" s="9" t="s">
        <v>723</v>
      </c>
      <c r="I301" s="6" t="s">
        <v>724</v>
      </c>
      <c r="J301" s="6" t="s">
        <v>22</v>
      </c>
      <c r="K301" s="6" t="s">
        <v>179</v>
      </c>
      <c r="L301" s="6" t="s">
        <v>45</v>
      </c>
    </row>
    <row r="302" spans="1:12">
      <c r="A302" s="3" t="s">
        <v>725</v>
      </c>
      <c r="B302" s="19">
        <v>7620</v>
      </c>
      <c r="C302" s="8">
        <v>125</v>
      </c>
      <c r="D302" s="8">
        <v>4</v>
      </c>
      <c r="E302" s="8" t="s">
        <v>14</v>
      </c>
      <c r="F302" s="4" t="s">
        <v>42</v>
      </c>
      <c r="G302" s="4" t="s">
        <v>20</v>
      </c>
      <c r="H302" s="10">
        <v>44323</v>
      </c>
      <c r="I302" s="4" t="s">
        <v>726</v>
      </c>
      <c r="J302" s="4" t="s">
        <v>7</v>
      </c>
      <c r="K302" s="4" t="s">
        <v>124</v>
      </c>
      <c r="L302" s="4" t="s">
        <v>54</v>
      </c>
    </row>
    <row r="303" spans="1:12">
      <c r="A303" s="5" t="s">
        <v>725</v>
      </c>
      <c r="B303" s="20">
        <v>7620</v>
      </c>
      <c r="C303" s="9">
        <v>125</v>
      </c>
      <c r="D303" s="9">
        <v>4</v>
      </c>
      <c r="E303" s="9" t="s">
        <v>14</v>
      </c>
      <c r="F303" s="6" t="s">
        <v>42</v>
      </c>
      <c r="G303" s="6" t="s">
        <v>20</v>
      </c>
      <c r="H303" s="11">
        <v>45636</v>
      </c>
      <c r="I303" s="6" t="s">
        <v>727</v>
      </c>
      <c r="J303" s="6" t="s">
        <v>7</v>
      </c>
      <c r="K303" s="6" t="s">
        <v>124</v>
      </c>
      <c r="L303" s="6" t="s">
        <v>93</v>
      </c>
    </row>
    <row r="304" spans="1:12">
      <c r="A304" s="5" t="s">
        <v>728</v>
      </c>
      <c r="B304" s="20">
        <v>7600</v>
      </c>
      <c r="C304" s="9">
        <v>1098</v>
      </c>
      <c r="D304" s="9">
        <v>10</v>
      </c>
      <c r="E304" s="9" t="s">
        <v>14</v>
      </c>
      <c r="F304" s="6" t="s">
        <v>44</v>
      </c>
      <c r="G304" s="6" t="s">
        <v>23</v>
      </c>
      <c r="H304" s="11">
        <v>45180</v>
      </c>
      <c r="I304" s="6" t="s">
        <v>729</v>
      </c>
      <c r="J304" s="6" t="s">
        <v>15</v>
      </c>
      <c r="K304" s="6" t="s">
        <v>171</v>
      </c>
      <c r="L304" s="6" t="s">
        <v>82</v>
      </c>
    </row>
    <row r="305" spans="1:12">
      <c r="A305" s="5" t="s">
        <v>730</v>
      </c>
      <c r="B305" s="20">
        <v>7595</v>
      </c>
      <c r="C305" s="9">
        <v>2873</v>
      </c>
      <c r="D305" s="9">
        <v>4</v>
      </c>
      <c r="E305" s="9" t="s">
        <v>10</v>
      </c>
      <c r="F305" s="6" t="s">
        <v>30</v>
      </c>
      <c r="G305" s="6" t="s">
        <v>16</v>
      </c>
      <c r="H305" s="9" t="s">
        <v>731</v>
      </c>
      <c r="I305" s="6" t="s">
        <v>732</v>
      </c>
      <c r="J305" s="6" t="s">
        <v>7</v>
      </c>
      <c r="K305" s="6" t="s">
        <v>205</v>
      </c>
      <c r="L305" s="6" t="s">
        <v>39</v>
      </c>
    </row>
    <row r="306" spans="1:12">
      <c r="A306" s="3" t="s">
        <v>730</v>
      </c>
      <c r="B306" s="19">
        <v>7595</v>
      </c>
      <c r="C306" s="8">
        <v>2873</v>
      </c>
      <c r="D306" s="8">
        <v>4</v>
      </c>
      <c r="E306" s="8" t="s">
        <v>10</v>
      </c>
      <c r="F306" s="4" t="s">
        <v>30</v>
      </c>
      <c r="G306" s="4" t="s">
        <v>16</v>
      </c>
      <c r="H306" s="8" t="s">
        <v>733</v>
      </c>
      <c r="I306" s="4" t="s">
        <v>734</v>
      </c>
      <c r="J306" s="4" t="s">
        <v>19</v>
      </c>
      <c r="K306" s="4" t="s">
        <v>108</v>
      </c>
      <c r="L306" s="4" t="s">
        <v>63</v>
      </c>
    </row>
    <row r="307" spans="1:12">
      <c r="A307" s="5" t="s">
        <v>735</v>
      </c>
      <c r="B307" s="20">
        <v>7566</v>
      </c>
      <c r="C307" s="9">
        <v>606</v>
      </c>
      <c r="D307" s="9">
        <v>6</v>
      </c>
      <c r="E307" s="9" t="s">
        <v>6</v>
      </c>
      <c r="F307" s="6" t="s">
        <v>21</v>
      </c>
      <c r="G307" s="6" t="s">
        <v>16</v>
      </c>
      <c r="H307" s="9" t="s">
        <v>736</v>
      </c>
      <c r="I307" s="6" t="s">
        <v>737</v>
      </c>
      <c r="J307" s="6" t="s">
        <v>22</v>
      </c>
      <c r="K307" s="6" t="s">
        <v>179</v>
      </c>
      <c r="L307" s="6" t="s">
        <v>96</v>
      </c>
    </row>
    <row r="308" spans="1:12">
      <c r="A308" s="3" t="s">
        <v>735</v>
      </c>
      <c r="B308" s="19">
        <v>7566</v>
      </c>
      <c r="C308" s="8">
        <v>606</v>
      </c>
      <c r="D308" s="8">
        <v>6</v>
      </c>
      <c r="E308" s="8" t="s">
        <v>6</v>
      </c>
      <c r="F308" s="4" t="s">
        <v>21</v>
      </c>
      <c r="G308" s="4" t="s">
        <v>16</v>
      </c>
      <c r="H308" s="8" t="s">
        <v>738</v>
      </c>
      <c r="I308" s="4" t="s">
        <v>739</v>
      </c>
      <c r="J308" s="4" t="s">
        <v>7</v>
      </c>
      <c r="K308" s="4" t="s">
        <v>162</v>
      </c>
      <c r="L308" s="4" t="s">
        <v>97</v>
      </c>
    </row>
    <row r="309" spans="1:12">
      <c r="A309" s="5" t="s">
        <v>740</v>
      </c>
      <c r="B309" s="20">
        <v>7564</v>
      </c>
      <c r="C309" s="9">
        <v>3463</v>
      </c>
      <c r="D309" s="9">
        <v>5</v>
      </c>
      <c r="E309" s="9" t="s">
        <v>14</v>
      </c>
      <c r="F309" s="6" t="s">
        <v>42</v>
      </c>
      <c r="G309" s="6" t="s">
        <v>12</v>
      </c>
      <c r="H309" s="9" t="s">
        <v>537</v>
      </c>
      <c r="I309" s="6" t="s">
        <v>741</v>
      </c>
      <c r="J309" s="6" t="s">
        <v>11</v>
      </c>
      <c r="K309" s="6" t="s">
        <v>136</v>
      </c>
      <c r="L309" s="6" t="s">
        <v>89</v>
      </c>
    </row>
    <row r="310" spans="1:12">
      <c r="A310" s="3" t="s">
        <v>740</v>
      </c>
      <c r="B310" s="19">
        <v>7564</v>
      </c>
      <c r="C310" s="8">
        <v>3463</v>
      </c>
      <c r="D310" s="8">
        <v>5</v>
      </c>
      <c r="E310" s="8" t="s">
        <v>14</v>
      </c>
      <c r="F310" s="4" t="s">
        <v>42</v>
      </c>
      <c r="G310" s="4" t="s">
        <v>12</v>
      </c>
      <c r="H310" s="8" t="s">
        <v>742</v>
      </c>
      <c r="I310" s="4" t="s">
        <v>743</v>
      </c>
      <c r="J310" s="4" t="s">
        <v>15</v>
      </c>
      <c r="K310" s="4" t="s">
        <v>235</v>
      </c>
      <c r="L310" s="4" t="s">
        <v>45</v>
      </c>
    </row>
    <row r="311" spans="1:12">
      <c r="A311" s="5" t="s">
        <v>740</v>
      </c>
      <c r="B311" s="20">
        <v>7564</v>
      </c>
      <c r="C311" s="9">
        <v>3463</v>
      </c>
      <c r="D311" s="9">
        <v>5</v>
      </c>
      <c r="E311" s="9" t="s">
        <v>14</v>
      </c>
      <c r="F311" s="6" t="s">
        <v>42</v>
      </c>
      <c r="G311" s="6" t="s">
        <v>12</v>
      </c>
      <c r="H311" s="11">
        <v>45301</v>
      </c>
      <c r="I311" s="6" t="s">
        <v>744</v>
      </c>
      <c r="J311" s="6" t="s">
        <v>11</v>
      </c>
      <c r="K311" s="6" t="s">
        <v>156</v>
      </c>
      <c r="L311" s="6" t="s">
        <v>93</v>
      </c>
    </row>
    <row r="312" spans="1:12">
      <c r="A312" s="3" t="s">
        <v>740</v>
      </c>
      <c r="B312" s="19">
        <v>7564</v>
      </c>
      <c r="C312" s="8">
        <v>3463</v>
      </c>
      <c r="D312" s="8">
        <v>5</v>
      </c>
      <c r="E312" s="8" t="s">
        <v>14</v>
      </c>
      <c r="F312" s="4" t="s">
        <v>42</v>
      </c>
      <c r="G312" s="4" t="s">
        <v>12</v>
      </c>
      <c r="H312" s="10">
        <v>45298</v>
      </c>
      <c r="I312" s="4" t="s">
        <v>745</v>
      </c>
      <c r="J312" s="4" t="s">
        <v>25</v>
      </c>
      <c r="K312" s="4" t="s">
        <v>253</v>
      </c>
      <c r="L312" s="4" t="s">
        <v>90</v>
      </c>
    </row>
    <row r="313" spans="1:12">
      <c r="A313" s="5" t="s">
        <v>746</v>
      </c>
      <c r="B313" s="20">
        <v>7560</v>
      </c>
      <c r="C313" s="9">
        <v>821</v>
      </c>
      <c r="D313" s="9">
        <v>4</v>
      </c>
      <c r="E313" s="9" t="s">
        <v>14</v>
      </c>
      <c r="F313" s="6" t="s">
        <v>42</v>
      </c>
      <c r="G313" s="6" t="s">
        <v>20</v>
      </c>
      <c r="H313" s="11">
        <v>44296</v>
      </c>
      <c r="I313" s="6" t="s">
        <v>747</v>
      </c>
      <c r="J313" s="6" t="s">
        <v>15</v>
      </c>
      <c r="K313" s="6" t="s">
        <v>132</v>
      </c>
      <c r="L313" s="6" t="s">
        <v>57</v>
      </c>
    </row>
    <row r="314" spans="1:12">
      <c r="A314" s="5" t="s">
        <v>748</v>
      </c>
      <c r="B314" s="20">
        <v>7533</v>
      </c>
      <c r="C314" s="9">
        <v>3508</v>
      </c>
      <c r="D314" s="9">
        <v>12</v>
      </c>
      <c r="E314" s="9" t="s">
        <v>10</v>
      </c>
      <c r="F314" s="6" t="s">
        <v>34</v>
      </c>
      <c r="G314" s="6" t="s">
        <v>23</v>
      </c>
      <c r="H314" s="9" t="s">
        <v>749</v>
      </c>
      <c r="I314" s="6" t="s">
        <v>750</v>
      </c>
      <c r="J314" s="6" t="s">
        <v>7</v>
      </c>
      <c r="K314" s="6" t="s">
        <v>162</v>
      </c>
      <c r="L314" s="6" t="s">
        <v>78</v>
      </c>
    </row>
    <row r="315" spans="1:12">
      <c r="A315" s="5" t="s">
        <v>751</v>
      </c>
      <c r="B315" s="20">
        <v>7524</v>
      </c>
      <c r="C315" s="9">
        <v>2308</v>
      </c>
      <c r="D315" s="9">
        <v>15</v>
      </c>
      <c r="E315" s="9" t="s">
        <v>6</v>
      </c>
      <c r="F315" s="6" t="s">
        <v>17</v>
      </c>
      <c r="G315" s="6" t="s">
        <v>20</v>
      </c>
      <c r="H315" s="11">
        <v>45119</v>
      </c>
      <c r="I315" s="6" t="s">
        <v>752</v>
      </c>
      <c r="J315" s="6" t="s">
        <v>25</v>
      </c>
      <c r="K315" s="6" t="s">
        <v>111</v>
      </c>
      <c r="L315" s="6" t="s">
        <v>83</v>
      </c>
    </row>
    <row r="316" spans="1:12">
      <c r="A316" s="5" t="s">
        <v>689</v>
      </c>
      <c r="B316" s="20">
        <v>7521</v>
      </c>
      <c r="C316" s="9">
        <v>3457</v>
      </c>
      <c r="D316" s="9">
        <v>16</v>
      </c>
      <c r="E316" s="9" t="s">
        <v>14</v>
      </c>
      <c r="F316" s="6" t="s">
        <v>40</v>
      </c>
      <c r="G316" s="6" t="s">
        <v>16</v>
      </c>
      <c r="H316" s="9" t="s">
        <v>663</v>
      </c>
      <c r="I316" s="6" t="s">
        <v>690</v>
      </c>
      <c r="J316" s="6" t="s">
        <v>11</v>
      </c>
      <c r="K316" s="6" t="s">
        <v>156</v>
      </c>
      <c r="L316" s="6" t="s">
        <v>50</v>
      </c>
    </row>
    <row r="317" spans="1:12">
      <c r="A317" s="3" t="s">
        <v>689</v>
      </c>
      <c r="B317" s="19">
        <v>7521</v>
      </c>
      <c r="C317" s="8">
        <v>3457</v>
      </c>
      <c r="D317" s="8">
        <v>16</v>
      </c>
      <c r="E317" s="8" t="s">
        <v>14</v>
      </c>
      <c r="F317" s="4" t="s">
        <v>40</v>
      </c>
      <c r="G317" s="4" t="s">
        <v>16</v>
      </c>
      <c r="H317" s="10">
        <v>45809</v>
      </c>
      <c r="I317" s="4" t="s">
        <v>691</v>
      </c>
      <c r="J317" s="4" t="s">
        <v>25</v>
      </c>
      <c r="K317" s="4" t="s">
        <v>129</v>
      </c>
      <c r="L317" s="4" t="s">
        <v>96</v>
      </c>
    </row>
    <row r="318" spans="1:12">
      <c r="A318" s="3" t="s">
        <v>753</v>
      </c>
      <c r="B318" s="19">
        <v>7519</v>
      </c>
      <c r="C318" s="8">
        <v>402</v>
      </c>
      <c r="D318" s="8">
        <v>14</v>
      </c>
      <c r="E318" s="8" t="s">
        <v>14</v>
      </c>
      <c r="F318" s="4" t="s">
        <v>42</v>
      </c>
      <c r="G318" s="4" t="s">
        <v>23</v>
      </c>
      <c r="H318" s="10">
        <v>44905</v>
      </c>
      <c r="I318" s="4" t="s">
        <v>754</v>
      </c>
      <c r="J318" s="4" t="s">
        <v>7</v>
      </c>
      <c r="K318" s="4" t="s">
        <v>162</v>
      </c>
      <c r="L318" s="4" t="s">
        <v>69</v>
      </c>
    </row>
    <row r="319" spans="1:12">
      <c r="A319" s="3" t="s">
        <v>728</v>
      </c>
      <c r="B319" s="19">
        <v>7501</v>
      </c>
      <c r="C319" s="8">
        <v>262</v>
      </c>
      <c r="D319" s="8">
        <v>18</v>
      </c>
      <c r="E319" s="8" t="s">
        <v>14</v>
      </c>
      <c r="F319" s="4" t="s">
        <v>42</v>
      </c>
      <c r="G319" s="4" t="s">
        <v>8</v>
      </c>
      <c r="H319" s="10">
        <v>45180</v>
      </c>
      <c r="I319" s="4" t="s">
        <v>729</v>
      </c>
      <c r="J319" s="4" t="s">
        <v>15</v>
      </c>
      <c r="K319" s="4" t="s">
        <v>171</v>
      </c>
      <c r="L319" s="4" t="s">
        <v>82</v>
      </c>
    </row>
    <row r="320" spans="1:12">
      <c r="A320" s="3" t="s">
        <v>755</v>
      </c>
      <c r="B320" s="19">
        <v>7497</v>
      </c>
      <c r="C320" s="8">
        <v>319</v>
      </c>
      <c r="D320" s="8">
        <v>18</v>
      </c>
      <c r="E320" s="8" t="s">
        <v>10</v>
      </c>
      <c r="F320" s="4" t="s">
        <v>30</v>
      </c>
      <c r="G320" s="4" t="s">
        <v>8</v>
      </c>
      <c r="H320" s="10">
        <v>45628</v>
      </c>
      <c r="I320" s="4" t="s">
        <v>756</v>
      </c>
      <c r="J320" s="4" t="s">
        <v>15</v>
      </c>
      <c r="K320" s="4" t="s">
        <v>235</v>
      </c>
      <c r="L320" s="4" t="s">
        <v>85</v>
      </c>
    </row>
    <row r="321" spans="1:12">
      <c r="A321" s="5" t="s">
        <v>757</v>
      </c>
      <c r="B321" s="20">
        <v>7493</v>
      </c>
      <c r="C321" s="9">
        <v>96</v>
      </c>
      <c r="D321" s="9">
        <v>3</v>
      </c>
      <c r="E321" s="9" t="s">
        <v>6</v>
      </c>
      <c r="F321" s="6" t="s">
        <v>13</v>
      </c>
      <c r="G321" s="6" t="s">
        <v>23</v>
      </c>
      <c r="H321" s="11">
        <v>44143</v>
      </c>
      <c r="I321" s="6" t="s">
        <v>758</v>
      </c>
      <c r="J321" s="6" t="s">
        <v>22</v>
      </c>
      <c r="K321" s="6" t="s">
        <v>117</v>
      </c>
      <c r="L321" s="6" t="s">
        <v>39</v>
      </c>
    </row>
    <row r="322" spans="1:12">
      <c r="A322" s="3" t="s">
        <v>694</v>
      </c>
      <c r="B322" s="19">
        <v>7484</v>
      </c>
      <c r="C322" s="8">
        <v>2871</v>
      </c>
      <c r="D322" s="8">
        <v>15</v>
      </c>
      <c r="E322" s="8" t="s">
        <v>6</v>
      </c>
      <c r="F322" s="4" t="s">
        <v>21</v>
      </c>
      <c r="G322" s="4" t="s">
        <v>23</v>
      </c>
      <c r="H322" s="10">
        <v>45118</v>
      </c>
      <c r="I322" s="4" t="s">
        <v>695</v>
      </c>
      <c r="J322" s="4" t="s">
        <v>11</v>
      </c>
      <c r="K322" s="4" t="s">
        <v>120</v>
      </c>
      <c r="L322" s="4" t="s">
        <v>82</v>
      </c>
    </row>
    <row r="323" spans="1:12">
      <c r="A323" s="5" t="s">
        <v>694</v>
      </c>
      <c r="B323" s="20">
        <v>7484</v>
      </c>
      <c r="C323" s="9">
        <v>2871</v>
      </c>
      <c r="D323" s="9">
        <v>15</v>
      </c>
      <c r="E323" s="9" t="s">
        <v>6</v>
      </c>
      <c r="F323" s="6" t="s">
        <v>21</v>
      </c>
      <c r="G323" s="6" t="s">
        <v>23</v>
      </c>
      <c r="H323" s="9" t="s">
        <v>188</v>
      </c>
      <c r="I323" s="6" t="s">
        <v>696</v>
      </c>
      <c r="J323" s="6" t="s">
        <v>15</v>
      </c>
      <c r="K323" s="6" t="s">
        <v>132</v>
      </c>
      <c r="L323" s="6" t="s">
        <v>87</v>
      </c>
    </row>
    <row r="324" spans="1:12">
      <c r="A324" s="3" t="s">
        <v>759</v>
      </c>
      <c r="B324" s="19">
        <v>7478</v>
      </c>
      <c r="C324" s="8">
        <v>1381</v>
      </c>
      <c r="D324" s="8">
        <v>11</v>
      </c>
      <c r="E324" s="8" t="s">
        <v>6</v>
      </c>
      <c r="F324" s="4" t="s">
        <v>21</v>
      </c>
      <c r="G324" s="4" t="s">
        <v>20</v>
      </c>
      <c r="H324" s="8" t="s">
        <v>188</v>
      </c>
      <c r="I324" s="4" t="s">
        <v>760</v>
      </c>
      <c r="J324" s="4" t="s">
        <v>25</v>
      </c>
      <c r="K324" s="4" t="s">
        <v>253</v>
      </c>
      <c r="L324" s="4" t="s">
        <v>87</v>
      </c>
    </row>
    <row r="325" spans="1:12">
      <c r="A325" s="5" t="s">
        <v>291</v>
      </c>
      <c r="B325" s="20">
        <v>7472</v>
      </c>
      <c r="C325" s="9">
        <v>1037</v>
      </c>
      <c r="D325" s="9">
        <v>3</v>
      </c>
      <c r="E325" s="9" t="s">
        <v>14</v>
      </c>
      <c r="F325" s="6" t="s">
        <v>42</v>
      </c>
      <c r="G325" s="6" t="s">
        <v>8</v>
      </c>
      <c r="H325" s="9" t="s">
        <v>292</v>
      </c>
      <c r="I325" s="6" t="s">
        <v>293</v>
      </c>
      <c r="J325" s="6" t="s">
        <v>15</v>
      </c>
      <c r="K325" s="6" t="s">
        <v>171</v>
      </c>
      <c r="L325" s="6" t="s">
        <v>69</v>
      </c>
    </row>
    <row r="326" spans="1:12">
      <c r="A326" s="5" t="s">
        <v>761</v>
      </c>
      <c r="B326" s="20">
        <v>7441</v>
      </c>
      <c r="C326" s="9">
        <v>867</v>
      </c>
      <c r="D326" s="9">
        <v>12</v>
      </c>
      <c r="E326" s="9" t="s">
        <v>10</v>
      </c>
      <c r="F326" s="6" t="s">
        <v>32</v>
      </c>
      <c r="G326" s="6" t="s">
        <v>8</v>
      </c>
      <c r="H326" s="9" t="s">
        <v>762</v>
      </c>
      <c r="I326" s="6" t="s">
        <v>763</v>
      </c>
      <c r="J326" s="6" t="s">
        <v>15</v>
      </c>
      <c r="K326" s="6" t="s">
        <v>132</v>
      </c>
      <c r="L326" s="6" t="s">
        <v>58</v>
      </c>
    </row>
    <row r="327" spans="1:12">
      <c r="A327" s="3" t="s">
        <v>761</v>
      </c>
      <c r="B327" s="19">
        <v>7441</v>
      </c>
      <c r="C327" s="8">
        <v>867</v>
      </c>
      <c r="D327" s="8">
        <v>12</v>
      </c>
      <c r="E327" s="8" t="s">
        <v>10</v>
      </c>
      <c r="F327" s="4" t="s">
        <v>32</v>
      </c>
      <c r="G327" s="4" t="s">
        <v>8</v>
      </c>
      <c r="H327" s="8" t="s">
        <v>764</v>
      </c>
      <c r="I327" s="4" t="s">
        <v>765</v>
      </c>
      <c r="J327" s="4" t="s">
        <v>25</v>
      </c>
      <c r="K327" s="4" t="s">
        <v>111</v>
      </c>
      <c r="L327" s="4" t="s">
        <v>33</v>
      </c>
    </row>
    <row r="328" spans="1:12">
      <c r="A328" s="5" t="s">
        <v>766</v>
      </c>
      <c r="B328" s="20">
        <v>7434</v>
      </c>
      <c r="C328" s="9">
        <v>2851</v>
      </c>
      <c r="D328" s="9">
        <v>5</v>
      </c>
      <c r="E328" s="9" t="s">
        <v>14</v>
      </c>
      <c r="F328" s="6" t="s">
        <v>40</v>
      </c>
      <c r="G328" s="6" t="s">
        <v>23</v>
      </c>
      <c r="H328" s="11">
        <v>44907</v>
      </c>
      <c r="I328" s="6" t="s">
        <v>767</v>
      </c>
      <c r="J328" s="6" t="s">
        <v>15</v>
      </c>
      <c r="K328" s="6" t="s">
        <v>171</v>
      </c>
      <c r="L328" s="6" t="s">
        <v>71</v>
      </c>
    </row>
    <row r="329" spans="1:12">
      <c r="A329" s="3" t="s">
        <v>768</v>
      </c>
      <c r="B329" s="19">
        <v>7421</v>
      </c>
      <c r="C329" s="8">
        <v>958</v>
      </c>
      <c r="D329" s="8">
        <v>10</v>
      </c>
      <c r="E329" s="8" t="s">
        <v>10</v>
      </c>
      <c r="F329" s="4" t="s">
        <v>34</v>
      </c>
      <c r="G329" s="4" t="s">
        <v>8</v>
      </c>
      <c r="H329" s="8" t="s">
        <v>769</v>
      </c>
      <c r="I329" s="4" t="s">
        <v>770</v>
      </c>
      <c r="J329" s="4" t="s">
        <v>25</v>
      </c>
      <c r="K329" s="4" t="s">
        <v>253</v>
      </c>
      <c r="L329" s="4" t="s">
        <v>71</v>
      </c>
    </row>
    <row r="330" spans="1:12">
      <c r="A330" s="5" t="s">
        <v>768</v>
      </c>
      <c r="B330" s="20">
        <v>7421</v>
      </c>
      <c r="C330" s="9">
        <v>958</v>
      </c>
      <c r="D330" s="9">
        <v>10</v>
      </c>
      <c r="E330" s="9" t="s">
        <v>10</v>
      </c>
      <c r="F330" s="6" t="s">
        <v>34</v>
      </c>
      <c r="G330" s="6" t="s">
        <v>8</v>
      </c>
      <c r="H330" s="9" t="s">
        <v>771</v>
      </c>
      <c r="I330" s="6" t="s">
        <v>772</v>
      </c>
      <c r="J330" s="6" t="s">
        <v>25</v>
      </c>
      <c r="K330" s="6" t="s">
        <v>253</v>
      </c>
      <c r="L330" s="6" t="s">
        <v>60</v>
      </c>
    </row>
    <row r="331" spans="1:12">
      <c r="A331" s="3" t="s">
        <v>768</v>
      </c>
      <c r="B331" s="19">
        <v>7421</v>
      </c>
      <c r="C331" s="8">
        <v>958</v>
      </c>
      <c r="D331" s="8">
        <v>10</v>
      </c>
      <c r="E331" s="8" t="s">
        <v>10</v>
      </c>
      <c r="F331" s="4" t="s">
        <v>34</v>
      </c>
      <c r="G331" s="4" t="s">
        <v>8</v>
      </c>
      <c r="H331" s="8" t="s">
        <v>773</v>
      </c>
      <c r="I331" s="4" t="s">
        <v>774</v>
      </c>
      <c r="J331" s="4" t="s">
        <v>25</v>
      </c>
      <c r="K331" s="4" t="s">
        <v>129</v>
      </c>
      <c r="L331" s="4" t="s">
        <v>72</v>
      </c>
    </row>
    <row r="332" spans="1:12">
      <c r="A332" s="3" t="s">
        <v>775</v>
      </c>
      <c r="B332" s="19">
        <v>7417</v>
      </c>
      <c r="C332" s="8">
        <v>1334</v>
      </c>
      <c r="D332" s="8">
        <v>16</v>
      </c>
      <c r="E332" s="8" t="s">
        <v>10</v>
      </c>
      <c r="F332" s="4" t="s">
        <v>28</v>
      </c>
      <c r="G332" s="4" t="s">
        <v>8</v>
      </c>
      <c r="H332" s="10">
        <v>44326</v>
      </c>
      <c r="I332" s="4" t="s">
        <v>776</v>
      </c>
      <c r="J332" s="4" t="s">
        <v>11</v>
      </c>
      <c r="K332" s="4" t="s">
        <v>136</v>
      </c>
      <c r="L332" s="4" t="s">
        <v>57</v>
      </c>
    </row>
    <row r="333" spans="1:12">
      <c r="A333" s="3" t="s">
        <v>777</v>
      </c>
      <c r="B333" s="19">
        <v>7380</v>
      </c>
      <c r="C333" s="8">
        <v>1673</v>
      </c>
      <c r="D333" s="8">
        <v>18</v>
      </c>
      <c r="E333" s="8" t="s">
        <v>14</v>
      </c>
      <c r="F333" s="4" t="s">
        <v>40</v>
      </c>
      <c r="G333" s="4" t="s">
        <v>8</v>
      </c>
      <c r="H333" s="8" t="s">
        <v>778</v>
      </c>
      <c r="I333" s="4" t="s">
        <v>779</v>
      </c>
      <c r="J333" s="4" t="s">
        <v>25</v>
      </c>
      <c r="K333" s="4" t="s">
        <v>253</v>
      </c>
      <c r="L333" s="4" t="s">
        <v>78</v>
      </c>
    </row>
    <row r="334" spans="1:12">
      <c r="A334" s="3" t="s">
        <v>780</v>
      </c>
      <c r="B334" s="19">
        <v>7377</v>
      </c>
      <c r="C334" s="8">
        <v>320</v>
      </c>
      <c r="D334" s="8">
        <v>15</v>
      </c>
      <c r="E334" s="8" t="s">
        <v>6</v>
      </c>
      <c r="F334" s="4" t="s">
        <v>24</v>
      </c>
      <c r="G334" s="4" t="s">
        <v>16</v>
      </c>
      <c r="H334" s="8" t="s">
        <v>781</v>
      </c>
      <c r="I334" s="4" t="s">
        <v>782</v>
      </c>
      <c r="J334" s="4" t="s">
        <v>25</v>
      </c>
      <c r="K334" s="4" t="s">
        <v>111</v>
      </c>
      <c r="L334" s="4" t="s">
        <v>71</v>
      </c>
    </row>
    <row r="335" spans="1:12">
      <c r="A335" s="3" t="s">
        <v>577</v>
      </c>
      <c r="B335" s="19">
        <v>7377</v>
      </c>
      <c r="C335" s="8">
        <v>2049</v>
      </c>
      <c r="D335" s="8">
        <v>4</v>
      </c>
      <c r="E335" s="8" t="s">
        <v>14</v>
      </c>
      <c r="F335" s="4" t="s">
        <v>40</v>
      </c>
      <c r="G335" s="4" t="s">
        <v>23</v>
      </c>
      <c r="H335" s="8" t="s">
        <v>578</v>
      </c>
      <c r="I335" s="4" t="s">
        <v>579</v>
      </c>
      <c r="J335" s="4" t="s">
        <v>11</v>
      </c>
      <c r="K335" s="4" t="s">
        <v>156</v>
      </c>
      <c r="L335" s="4" t="s">
        <v>60</v>
      </c>
    </row>
    <row r="336" spans="1:12">
      <c r="A336" s="5" t="s">
        <v>783</v>
      </c>
      <c r="B336" s="20">
        <v>7355</v>
      </c>
      <c r="C336" s="9">
        <v>1034</v>
      </c>
      <c r="D336" s="9">
        <v>3</v>
      </c>
      <c r="E336" s="9" t="s">
        <v>10</v>
      </c>
      <c r="F336" s="6" t="s">
        <v>32</v>
      </c>
      <c r="G336" s="6" t="s">
        <v>8</v>
      </c>
      <c r="H336" s="11">
        <v>45638</v>
      </c>
      <c r="I336" s="6" t="s">
        <v>784</v>
      </c>
      <c r="J336" s="6" t="s">
        <v>22</v>
      </c>
      <c r="K336" s="6" t="s">
        <v>117</v>
      </c>
      <c r="L336" s="6" t="s">
        <v>95</v>
      </c>
    </row>
    <row r="337" spans="1:12">
      <c r="A337" s="3" t="s">
        <v>783</v>
      </c>
      <c r="B337" s="19">
        <v>7355</v>
      </c>
      <c r="C337" s="8">
        <v>1034</v>
      </c>
      <c r="D337" s="8">
        <v>3</v>
      </c>
      <c r="E337" s="8" t="s">
        <v>10</v>
      </c>
      <c r="F337" s="4" t="s">
        <v>32</v>
      </c>
      <c r="G337" s="4" t="s">
        <v>8</v>
      </c>
      <c r="H337" s="10">
        <v>45081</v>
      </c>
      <c r="I337" s="4" t="s">
        <v>785</v>
      </c>
      <c r="J337" s="4" t="s">
        <v>7</v>
      </c>
      <c r="K337" s="4" t="s">
        <v>205</v>
      </c>
      <c r="L337" s="4" t="s">
        <v>75</v>
      </c>
    </row>
    <row r="338" spans="1:12">
      <c r="A338" s="3" t="s">
        <v>224</v>
      </c>
      <c r="B338" s="19">
        <v>7346</v>
      </c>
      <c r="C338" s="8">
        <v>1043</v>
      </c>
      <c r="D338" s="8">
        <v>10</v>
      </c>
      <c r="E338" s="8" t="s">
        <v>10</v>
      </c>
      <c r="F338" s="4" t="s">
        <v>32</v>
      </c>
      <c r="G338" s="4" t="s">
        <v>12</v>
      </c>
      <c r="H338" s="8" t="s">
        <v>225</v>
      </c>
      <c r="I338" s="4" t="s">
        <v>226</v>
      </c>
      <c r="J338" s="4" t="s">
        <v>22</v>
      </c>
      <c r="K338" s="4" t="s">
        <v>179</v>
      </c>
      <c r="L338" s="4" t="s">
        <v>71</v>
      </c>
    </row>
    <row r="339" spans="1:12">
      <c r="A339" s="3" t="s">
        <v>786</v>
      </c>
      <c r="B339" s="19">
        <v>7344</v>
      </c>
      <c r="C339" s="8">
        <v>2598</v>
      </c>
      <c r="D339" s="8">
        <v>20</v>
      </c>
      <c r="E339" s="8" t="s">
        <v>10</v>
      </c>
      <c r="F339" s="4" t="s">
        <v>28</v>
      </c>
      <c r="G339" s="4" t="s">
        <v>8</v>
      </c>
      <c r="H339" s="10">
        <v>44569</v>
      </c>
      <c r="I339" s="4" t="s">
        <v>787</v>
      </c>
      <c r="J339" s="4" t="s">
        <v>25</v>
      </c>
      <c r="K339" s="4" t="s">
        <v>129</v>
      </c>
      <c r="L339" s="4" t="s">
        <v>67</v>
      </c>
    </row>
    <row r="340" spans="1:12">
      <c r="A340" s="5" t="s">
        <v>788</v>
      </c>
      <c r="B340" s="20">
        <v>7344</v>
      </c>
      <c r="C340" s="9">
        <v>2251</v>
      </c>
      <c r="D340" s="9">
        <v>7</v>
      </c>
      <c r="E340" s="9" t="s">
        <v>6</v>
      </c>
      <c r="F340" s="6" t="s">
        <v>13</v>
      </c>
      <c r="G340" s="6" t="s">
        <v>16</v>
      </c>
      <c r="H340" s="11">
        <v>44867</v>
      </c>
      <c r="I340" s="6" t="s">
        <v>789</v>
      </c>
      <c r="J340" s="6" t="s">
        <v>11</v>
      </c>
      <c r="K340" s="6" t="s">
        <v>156</v>
      </c>
      <c r="L340" s="6" t="s">
        <v>61</v>
      </c>
    </row>
    <row r="341" spans="1:12">
      <c r="A341" s="5" t="s">
        <v>790</v>
      </c>
      <c r="B341" s="20">
        <v>7340</v>
      </c>
      <c r="C341" s="9">
        <v>2271</v>
      </c>
      <c r="D341" s="9">
        <v>8</v>
      </c>
      <c r="E341" s="9" t="s">
        <v>14</v>
      </c>
      <c r="F341" s="6" t="s">
        <v>42</v>
      </c>
      <c r="G341" s="6" t="s">
        <v>20</v>
      </c>
      <c r="H341" s="11">
        <v>44328</v>
      </c>
      <c r="I341" s="6" t="s">
        <v>791</v>
      </c>
      <c r="J341" s="6" t="s">
        <v>11</v>
      </c>
      <c r="K341" s="6" t="s">
        <v>120</v>
      </c>
      <c r="L341" s="6" t="s">
        <v>59</v>
      </c>
    </row>
    <row r="342" spans="1:12">
      <c r="A342" s="5" t="s">
        <v>792</v>
      </c>
      <c r="B342" s="20">
        <v>7333</v>
      </c>
      <c r="C342" s="9">
        <v>1576</v>
      </c>
      <c r="D342" s="9">
        <v>4</v>
      </c>
      <c r="E342" s="9" t="s">
        <v>6</v>
      </c>
      <c r="F342" s="6" t="s">
        <v>17</v>
      </c>
      <c r="G342" s="6" t="s">
        <v>12</v>
      </c>
      <c r="H342" s="11">
        <v>45479</v>
      </c>
      <c r="I342" s="6" t="s">
        <v>793</v>
      </c>
      <c r="J342" s="6" t="s">
        <v>19</v>
      </c>
      <c r="K342" s="6" t="s">
        <v>126</v>
      </c>
      <c r="L342" s="6" t="s">
        <v>89</v>
      </c>
    </row>
    <row r="343" spans="1:12">
      <c r="A343" s="3" t="s">
        <v>794</v>
      </c>
      <c r="B343" s="19">
        <v>7327</v>
      </c>
      <c r="C343" s="8">
        <v>2596</v>
      </c>
      <c r="D343" s="8">
        <v>15</v>
      </c>
      <c r="E343" s="8" t="s">
        <v>14</v>
      </c>
      <c r="F343" s="4" t="s">
        <v>40</v>
      </c>
      <c r="G343" s="4" t="s">
        <v>12</v>
      </c>
      <c r="H343" s="8" t="s">
        <v>795</v>
      </c>
      <c r="I343" s="4" t="s">
        <v>796</v>
      </c>
      <c r="J343" s="4" t="s">
        <v>25</v>
      </c>
      <c r="K343" s="4" t="s">
        <v>129</v>
      </c>
      <c r="L343" s="4" t="s">
        <v>87</v>
      </c>
    </row>
    <row r="344" spans="1:12">
      <c r="A344" s="5" t="s">
        <v>794</v>
      </c>
      <c r="B344" s="20">
        <v>7327</v>
      </c>
      <c r="C344" s="9">
        <v>2596</v>
      </c>
      <c r="D344" s="9">
        <v>15</v>
      </c>
      <c r="E344" s="9" t="s">
        <v>14</v>
      </c>
      <c r="F344" s="6" t="s">
        <v>40</v>
      </c>
      <c r="G344" s="6" t="s">
        <v>12</v>
      </c>
      <c r="H344" s="11">
        <v>45202</v>
      </c>
      <c r="I344" s="6" t="s">
        <v>797</v>
      </c>
      <c r="J344" s="6" t="s">
        <v>25</v>
      </c>
      <c r="K344" s="6" t="s">
        <v>253</v>
      </c>
      <c r="L344" s="6" t="s">
        <v>74</v>
      </c>
    </row>
    <row r="345" spans="1:12">
      <c r="A345" s="3" t="s">
        <v>794</v>
      </c>
      <c r="B345" s="19">
        <v>7327</v>
      </c>
      <c r="C345" s="8">
        <v>2596</v>
      </c>
      <c r="D345" s="8">
        <v>15</v>
      </c>
      <c r="E345" s="8" t="s">
        <v>14</v>
      </c>
      <c r="F345" s="4" t="s">
        <v>40</v>
      </c>
      <c r="G345" s="4" t="s">
        <v>12</v>
      </c>
      <c r="H345" s="10">
        <v>45206</v>
      </c>
      <c r="I345" s="4" t="s">
        <v>798</v>
      </c>
      <c r="J345" s="4" t="s">
        <v>19</v>
      </c>
      <c r="K345" s="4" t="s">
        <v>210</v>
      </c>
      <c r="L345" s="4" t="s">
        <v>78</v>
      </c>
    </row>
    <row r="346" spans="1:12">
      <c r="A346" s="3" t="s">
        <v>788</v>
      </c>
      <c r="B346" s="19">
        <v>7306</v>
      </c>
      <c r="C346" s="8">
        <v>1547</v>
      </c>
      <c r="D346" s="8">
        <v>3</v>
      </c>
      <c r="E346" s="8" t="s">
        <v>14</v>
      </c>
      <c r="F346" s="4" t="s">
        <v>42</v>
      </c>
      <c r="G346" s="4" t="s">
        <v>8</v>
      </c>
      <c r="H346" s="10">
        <v>44867</v>
      </c>
      <c r="I346" s="4" t="s">
        <v>789</v>
      </c>
      <c r="J346" s="4" t="s">
        <v>11</v>
      </c>
      <c r="K346" s="4" t="s">
        <v>156</v>
      </c>
      <c r="L346" s="4" t="s">
        <v>61</v>
      </c>
    </row>
    <row r="347" spans="1:12">
      <c r="A347" s="5" t="s">
        <v>799</v>
      </c>
      <c r="B347" s="20">
        <v>7301</v>
      </c>
      <c r="C347" s="9">
        <v>3602</v>
      </c>
      <c r="D347" s="9">
        <v>3</v>
      </c>
      <c r="E347" s="9" t="s">
        <v>14</v>
      </c>
      <c r="F347" s="6" t="s">
        <v>38</v>
      </c>
      <c r="G347" s="6" t="s">
        <v>16</v>
      </c>
      <c r="H347" s="11">
        <v>45477</v>
      </c>
      <c r="I347" s="6" t="s">
        <v>800</v>
      </c>
      <c r="J347" s="6" t="s">
        <v>25</v>
      </c>
      <c r="K347" s="6" t="s">
        <v>253</v>
      </c>
      <c r="L347" s="6" t="s">
        <v>87</v>
      </c>
    </row>
    <row r="348" spans="1:12">
      <c r="A348" s="3" t="s">
        <v>801</v>
      </c>
      <c r="B348" s="19">
        <v>7273</v>
      </c>
      <c r="C348" s="8">
        <v>2702</v>
      </c>
      <c r="D348" s="8">
        <v>18</v>
      </c>
      <c r="E348" s="8" t="s">
        <v>14</v>
      </c>
      <c r="F348" s="4" t="s">
        <v>42</v>
      </c>
      <c r="G348" s="4" t="s">
        <v>8</v>
      </c>
      <c r="H348" s="8" t="s">
        <v>802</v>
      </c>
      <c r="I348" s="4" t="s">
        <v>803</v>
      </c>
      <c r="J348" s="4" t="s">
        <v>19</v>
      </c>
      <c r="K348" s="4" t="s">
        <v>210</v>
      </c>
      <c r="L348" s="4" t="s">
        <v>65</v>
      </c>
    </row>
    <row r="349" spans="1:12">
      <c r="A349" s="3" t="s">
        <v>804</v>
      </c>
      <c r="B349" s="19">
        <v>7259</v>
      </c>
      <c r="C349" s="8">
        <v>1969</v>
      </c>
      <c r="D349" s="8">
        <v>10</v>
      </c>
      <c r="E349" s="8" t="s">
        <v>6</v>
      </c>
      <c r="F349" s="4" t="s">
        <v>17</v>
      </c>
      <c r="G349" s="4" t="s">
        <v>12</v>
      </c>
      <c r="H349" s="10">
        <v>44785</v>
      </c>
      <c r="I349" s="4" t="s">
        <v>805</v>
      </c>
      <c r="J349" s="4" t="s">
        <v>15</v>
      </c>
      <c r="K349" s="4" t="s">
        <v>171</v>
      </c>
      <c r="L349" s="4" t="s">
        <v>71</v>
      </c>
    </row>
    <row r="350" spans="1:12">
      <c r="A350" s="3" t="s">
        <v>806</v>
      </c>
      <c r="B350" s="19">
        <v>7223</v>
      </c>
      <c r="C350" s="8">
        <v>2433</v>
      </c>
      <c r="D350" s="8">
        <v>12</v>
      </c>
      <c r="E350" s="8" t="s">
        <v>14</v>
      </c>
      <c r="F350" s="4" t="s">
        <v>38</v>
      </c>
      <c r="G350" s="4" t="s">
        <v>12</v>
      </c>
      <c r="H350" s="8" t="s">
        <v>448</v>
      </c>
      <c r="I350" s="4" t="s">
        <v>807</v>
      </c>
      <c r="J350" s="4" t="s">
        <v>15</v>
      </c>
      <c r="K350" s="4" t="s">
        <v>171</v>
      </c>
      <c r="L350" s="4" t="s">
        <v>73</v>
      </c>
    </row>
    <row r="351" spans="1:12">
      <c r="A351" s="3" t="s">
        <v>808</v>
      </c>
      <c r="B351" s="19">
        <v>7213</v>
      </c>
      <c r="C351" s="8">
        <v>508</v>
      </c>
      <c r="D351" s="8">
        <v>19</v>
      </c>
      <c r="E351" s="8" t="s">
        <v>6</v>
      </c>
      <c r="F351" s="4" t="s">
        <v>13</v>
      </c>
      <c r="G351" s="4" t="s">
        <v>16</v>
      </c>
      <c r="H351" s="8" t="s">
        <v>809</v>
      </c>
      <c r="I351" s="4" t="s">
        <v>810</v>
      </c>
      <c r="J351" s="4" t="s">
        <v>25</v>
      </c>
      <c r="K351" s="4" t="s">
        <v>129</v>
      </c>
      <c r="L351" s="4" t="s">
        <v>79</v>
      </c>
    </row>
    <row r="352" spans="1:12">
      <c r="A352" s="5" t="s">
        <v>808</v>
      </c>
      <c r="B352" s="20">
        <v>7213</v>
      </c>
      <c r="C352" s="9">
        <v>508</v>
      </c>
      <c r="D352" s="9">
        <v>19</v>
      </c>
      <c r="E352" s="9" t="s">
        <v>6</v>
      </c>
      <c r="F352" s="6" t="s">
        <v>13</v>
      </c>
      <c r="G352" s="6" t="s">
        <v>16</v>
      </c>
      <c r="H352" s="9" t="s">
        <v>811</v>
      </c>
      <c r="I352" s="6" t="s">
        <v>812</v>
      </c>
      <c r="J352" s="6" t="s">
        <v>22</v>
      </c>
      <c r="K352" s="6" t="s">
        <v>223</v>
      </c>
      <c r="L352" s="6" t="s">
        <v>58</v>
      </c>
    </row>
    <row r="353" spans="1:12">
      <c r="A353" s="3" t="s">
        <v>813</v>
      </c>
      <c r="B353" s="19">
        <v>7201</v>
      </c>
      <c r="C353" s="8">
        <v>2685</v>
      </c>
      <c r="D353" s="8">
        <v>2</v>
      </c>
      <c r="E353" s="8" t="s">
        <v>10</v>
      </c>
      <c r="F353" s="4" t="s">
        <v>34</v>
      </c>
      <c r="G353" s="4" t="s">
        <v>12</v>
      </c>
      <c r="H353" s="8" t="s">
        <v>814</v>
      </c>
      <c r="I353" s="4" t="s">
        <v>815</v>
      </c>
      <c r="J353" s="4" t="s">
        <v>19</v>
      </c>
      <c r="K353" s="4" t="s">
        <v>108</v>
      </c>
      <c r="L353" s="4" t="s">
        <v>95</v>
      </c>
    </row>
    <row r="354" spans="1:12">
      <c r="A354" s="3" t="s">
        <v>816</v>
      </c>
      <c r="B354" s="19">
        <v>7195</v>
      </c>
      <c r="C354" s="8">
        <v>1665</v>
      </c>
      <c r="D354" s="8">
        <v>7</v>
      </c>
      <c r="E354" s="8" t="s">
        <v>14</v>
      </c>
      <c r="F354" s="4" t="s">
        <v>40</v>
      </c>
      <c r="G354" s="4" t="s">
        <v>8</v>
      </c>
      <c r="H354" s="8" t="s">
        <v>817</v>
      </c>
      <c r="I354" s="4" t="s">
        <v>818</v>
      </c>
      <c r="J354" s="4" t="s">
        <v>19</v>
      </c>
      <c r="K354" s="4" t="s">
        <v>108</v>
      </c>
      <c r="L354" s="4" t="s">
        <v>90</v>
      </c>
    </row>
    <row r="355" spans="1:12">
      <c r="A355" s="5" t="s">
        <v>816</v>
      </c>
      <c r="B355" s="20">
        <v>7195</v>
      </c>
      <c r="C355" s="9">
        <v>1665</v>
      </c>
      <c r="D355" s="9">
        <v>7</v>
      </c>
      <c r="E355" s="9" t="s">
        <v>14</v>
      </c>
      <c r="F355" s="6" t="s">
        <v>40</v>
      </c>
      <c r="G355" s="6" t="s">
        <v>8</v>
      </c>
      <c r="H355" s="11">
        <v>44688</v>
      </c>
      <c r="I355" s="6" t="s">
        <v>819</v>
      </c>
      <c r="J355" s="6" t="s">
        <v>19</v>
      </c>
      <c r="K355" s="6" t="s">
        <v>126</v>
      </c>
      <c r="L355" s="6" t="s">
        <v>66</v>
      </c>
    </row>
    <row r="356" spans="1:12">
      <c r="A356" s="3" t="s">
        <v>224</v>
      </c>
      <c r="B356" s="19">
        <v>7179</v>
      </c>
      <c r="C356" s="8">
        <v>683</v>
      </c>
      <c r="D356" s="8">
        <v>13</v>
      </c>
      <c r="E356" s="8" t="s">
        <v>6</v>
      </c>
      <c r="F356" s="4" t="s">
        <v>17</v>
      </c>
      <c r="G356" s="4" t="s">
        <v>12</v>
      </c>
      <c r="H356" s="8" t="s">
        <v>225</v>
      </c>
      <c r="I356" s="4" t="s">
        <v>226</v>
      </c>
      <c r="J356" s="4" t="s">
        <v>22</v>
      </c>
      <c r="K356" s="4" t="s">
        <v>179</v>
      </c>
      <c r="L356" s="4" t="s">
        <v>71</v>
      </c>
    </row>
    <row r="357" spans="1:12">
      <c r="A357" s="5" t="s">
        <v>820</v>
      </c>
      <c r="B357" s="20">
        <v>7169</v>
      </c>
      <c r="C357" s="9">
        <v>2385</v>
      </c>
      <c r="D357" s="9">
        <v>11</v>
      </c>
      <c r="E357" s="9" t="s">
        <v>10</v>
      </c>
      <c r="F357" s="6" t="s">
        <v>32</v>
      </c>
      <c r="G357" s="6" t="s">
        <v>8</v>
      </c>
      <c r="H357" s="9" t="s">
        <v>821</v>
      </c>
      <c r="I357" s="6" t="s">
        <v>822</v>
      </c>
      <c r="J357" s="6" t="s">
        <v>7</v>
      </c>
      <c r="K357" s="6" t="s">
        <v>205</v>
      </c>
      <c r="L357" s="6" t="s">
        <v>53</v>
      </c>
    </row>
    <row r="358" spans="1:12">
      <c r="A358" s="5" t="s">
        <v>823</v>
      </c>
      <c r="B358" s="20">
        <v>7163</v>
      </c>
      <c r="C358" s="9">
        <v>1536</v>
      </c>
      <c r="D358" s="9">
        <v>1</v>
      </c>
      <c r="E358" s="9" t="s">
        <v>6</v>
      </c>
      <c r="F358" s="6" t="s">
        <v>21</v>
      </c>
      <c r="G358" s="6" t="s">
        <v>20</v>
      </c>
      <c r="H358" s="9" t="s">
        <v>824</v>
      </c>
      <c r="I358" s="6" t="s">
        <v>825</v>
      </c>
      <c r="J358" s="6" t="s">
        <v>7</v>
      </c>
      <c r="K358" s="6" t="s">
        <v>162</v>
      </c>
      <c r="L358" s="6" t="s">
        <v>81</v>
      </c>
    </row>
    <row r="359" spans="1:12">
      <c r="A359" s="3" t="s">
        <v>826</v>
      </c>
      <c r="B359" s="19">
        <v>7144</v>
      </c>
      <c r="C359" s="8">
        <v>192</v>
      </c>
      <c r="D359" s="8">
        <v>13</v>
      </c>
      <c r="E359" s="8" t="s">
        <v>6</v>
      </c>
      <c r="F359" s="4" t="s">
        <v>13</v>
      </c>
      <c r="G359" s="4" t="s">
        <v>12</v>
      </c>
      <c r="H359" s="8" t="s">
        <v>827</v>
      </c>
      <c r="I359" s="4" t="s">
        <v>828</v>
      </c>
      <c r="J359" s="4" t="s">
        <v>11</v>
      </c>
      <c r="K359" s="4" t="s">
        <v>156</v>
      </c>
      <c r="L359" s="4" t="s">
        <v>58</v>
      </c>
    </row>
    <row r="360" spans="1:12">
      <c r="A360" s="3" t="s">
        <v>829</v>
      </c>
      <c r="B360" s="19">
        <v>7131</v>
      </c>
      <c r="C360" s="8">
        <v>718</v>
      </c>
      <c r="D360" s="8">
        <v>12</v>
      </c>
      <c r="E360" s="8" t="s">
        <v>6</v>
      </c>
      <c r="F360" s="4" t="s">
        <v>24</v>
      </c>
      <c r="G360" s="4" t="s">
        <v>23</v>
      </c>
      <c r="H360" s="10">
        <v>44535</v>
      </c>
      <c r="I360" s="4" t="s">
        <v>830</v>
      </c>
      <c r="J360" s="4" t="s">
        <v>19</v>
      </c>
      <c r="K360" s="4" t="s">
        <v>126</v>
      </c>
      <c r="L360" s="4" t="s">
        <v>52</v>
      </c>
    </row>
    <row r="361" spans="1:12">
      <c r="A361" s="5" t="s">
        <v>829</v>
      </c>
      <c r="B361" s="20">
        <v>7131</v>
      </c>
      <c r="C361" s="9">
        <v>718</v>
      </c>
      <c r="D361" s="9">
        <v>12</v>
      </c>
      <c r="E361" s="9" t="s">
        <v>6</v>
      </c>
      <c r="F361" s="6" t="s">
        <v>24</v>
      </c>
      <c r="G361" s="6" t="s">
        <v>23</v>
      </c>
      <c r="H361" s="9" t="s">
        <v>831</v>
      </c>
      <c r="I361" s="6" t="s">
        <v>832</v>
      </c>
      <c r="J361" s="6" t="s">
        <v>11</v>
      </c>
      <c r="K361" s="6" t="s">
        <v>136</v>
      </c>
      <c r="L361" s="6" t="s">
        <v>80</v>
      </c>
    </row>
    <row r="362" spans="1:12">
      <c r="A362" s="5" t="s">
        <v>794</v>
      </c>
      <c r="B362" s="20">
        <v>7122</v>
      </c>
      <c r="C362" s="9">
        <v>1836</v>
      </c>
      <c r="D362" s="9">
        <v>6</v>
      </c>
      <c r="E362" s="9" t="s">
        <v>6</v>
      </c>
      <c r="F362" s="6" t="s">
        <v>21</v>
      </c>
      <c r="G362" s="6" t="s">
        <v>16</v>
      </c>
      <c r="H362" s="9" t="s">
        <v>795</v>
      </c>
      <c r="I362" s="6" t="s">
        <v>796</v>
      </c>
      <c r="J362" s="6" t="s">
        <v>25</v>
      </c>
      <c r="K362" s="6" t="s">
        <v>129</v>
      </c>
      <c r="L362" s="6" t="s">
        <v>87</v>
      </c>
    </row>
    <row r="363" spans="1:12">
      <c r="A363" s="3" t="s">
        <v>794</v>
      </c>
      <c r="B363" s="19">
        <v>7122</v>
      </c>
      <c r="C363" s="8">
        <v>1836</v>
      </c>
      <c r="D363" s="8">
        <v>6</v>
      </c>
      <c r="E363" s="8" t="s">
        <v>6</v>
      </c>
      <c r="F363" s="4" t="s">
        <v>21</v>
      </c>
      <c r="G363" s="4" t="s">
        <v>16</v>
      </c>
      <c r="H363" s="10">
        <v>45202</v>
      </c>
      <c r="I363" s="4" t="s">
        <v>797</v>
      </c>
      <c r="J363" s="4" t="s">
        <v>25</v>
      </c>
      <c r="K363" s="4" t="s">
        <v>253</v>
      </c>
      <c r="L363" s="4" t="s">
        <v>74</v>
      </c>
    </row>
    <row r="364" spans="1:12">
      <c r="A364" s="5" t="s">
        <v>794</v>
      </c>
      <c r="B364" s="20">
        <v>7122</v>
      </c>
      <c r="C364" s="9">
        <v>1836</v>
      </c>
      <c r="D364" s="9">
        <v>6</v>
      </c>
      <c r="E364" s="9" t="s">
        <v>6</v>
      </c>
      <c r="F364" s="6" t="s">
        <v>21</v>
      </c>
      <c r="G364" s="6" t="s">
        <v>16</v>
      </c>
      <c r="H364" s="11">
        <v>45206</v>
      </c>
      <c r="I364" s="6" t="s">
        <v>798</v>
      </c>
      <c r="J364" s="6" t="s">
        <v>19</v>
      </c>
      <c r="K364" s="6" t="s">
        <v>210</v>
      </c>
      <c r="L364" s="6" t="s">
        <v>78</v>
      </c>
    </row>
    <row r="365" spans="1:12">
      <c r="A365" s="3" t="s">
        <v>833</v>
      </c>
      <c r="B365" s="19">
        <v>7122</v>
      </c>
      <c r="C365" s="8">
        <v>1982</v>
      </c>
      <c r="D365" s="8">
        <v>7</v>
      </c>
      <c r="E365" s="8" t="s">
        <v>14</v>
      </c>
      <c r="F365" s="4" t="s">
        <v>40</v>
      </c>
      <c r="G365" s="4" t="s">
        <v>20</v>
      </c>
      <c r="H365" s="10">
        <v>45599</v>
      </c>
      <c r="I365" s="4" t="s">
        <v>834</v>
      </c>
      <c r="J365" s="4" t="s">
        <v>15</v>
      </c>
      <c r="K365" s="4" t="s">
        <v>235</v>
      </c>
      <c r="L365" s="4" t="s">
        <v>86</v>
      </c>
    </row>
    <row r="366" spans="1:12">
      <c r="A366" s="3" t="s">
        <v>835</v>
      </c>
      <c r="B366" s="19">
        <v>7105</v>
      </c>
      <c r="C366" s="8">
        <v>2782</v>
      </c>
      <c r="D366" s="8">
        <v>19</v>
      </c>
      <c r="E366" s="8" t="s">
        <v>14</v>
      </c>
      <c r="F366" s="4" t="s">
        <v>44</v>
      </c>
      <c r="G366" s="4" t="s">
        <v>8</v>
      </c>
      <c r="H366" s="8" t="s">
        <v>836</v>
      </c>
      <c r="I366" s="4" t="s">
        <v>837</v>
      </c>
      <c r="J366" s="4" t="s">
        <v>22</v>
      </c>
      <c r="K366" s="4" t="s">
        <v>179</v>
      </c>
      <c r="L366" s="4" t="s">
        <v>59</v>
      </c>
    </row>
    <row r="367" spans="1:12">
      <c r="A367" s="5" t="s">
        <v>838</v>
      </c>
      <c r="B367" s="20">
        <v>7091</v>
      </c>
      <c r="C367" s="9">
        <v>2317</v>
      </c>
      <c r="D367" s="9">
        <v>10</v>
      </c>
      <c r="E367" s="9" t="s">
        <v>10</v>
      </c>
      <c r="F367" s="6" t="s">
        <v>32</v>
      </c>
      <c r="G367" s="6" t="s">
        <v>12</v>
      </c>
      <c r="H367" s="11">
        <v>44810</v>
      </c>
      <c r="I367" s="6" t="s">
        <v>839</v>
      </c>
      <c r="J367" s="6" t="s">
        <v>7</v>
      </c>
      <c r="K367" s="6" t="s">
        <v>162</v>
      </c>
      <c r="L367" s="6" t="s">
        <v>65</v>
      </c>
    </row>
    <row r="368" spans="1:12">
      <c r="A368" s="3" t="s">
        <v>840</v>
      </c>
      <c r="B368" s="19">
        <v>7067</v>
      </c>
      <c r="C368" s="8">
        <v>1943</v>
      </c>
      <c r="D368" s="8">
        <v>16</v>
      </c>
      <c r="E368" s="8" t="s">
        <v>10</v>
      </c>
      <c r="F368" s="4" t="s">
        <v>34</v>
      </c>
      <c r="G368" s="4" t="s">
        <v>12</v>
      </c>
      <c r="H368" s="8" t="s">
        <v>841</v>
      </c>
      <c r="I368" s="4" t="s">
        <v>842</v>
      </c>
      <c r="J368" s="4" t="s">
        <v>7</v>
      </c>
      <c r="K368" s="4" t="s">
        <v>124</v>
      </c>
      <c r="L368" s="4" t="s">
        <v>62</v>
      </c>
    </row>
    <row r="369" spans="1:12">
      <c r="A369" s="5" t="s">
        <v>843</v>
      </c>
      <c r="B369" s="20">
        <v>7019</v>
      </c>
      <c r="C369" s="9">
        <v>2677</v>
      </c>
      <c r="D369" s="9">
        <v>15</v>
      </c>
      <c r="E369" s="9" t="s">
        <v>14</v>
      </c>
      <c r="F369" s="6" t="s">
        <v>40</v>
      </c>
      <c r="G369" s="6" t="s">
        <v>23</v>
      </c>
      <c r="H369" s="9" t="s">
        <v>500</v>
      </c>
      <c r="I369" s="6" t="s">
        <v>844</v>
      </c>
      <c r="J369" s="6" t="s">
        <v>11</v>
      </c>
      <c r="K369" s="6" t="s">
        <v>156</v>
      </c>
      <c r="L369" s="6" t="s">
        <v>47</v>
      </c>
    </row>
    <row r="370" spans="1:12">
      <c r="A370" s="5" t="s">
        <v>497</v>
      </c>
      <c r="B370" s="20">
        <v>6973</v>
      </c>
      <c r="C370" s="9">
        <v>3038</v>
      </c>
      <c r="D370" s="9">
        <v>10</v>
      </c>
      <c r="E370" s="9" t="s">
        <v>10</v>
      </c>
      <c r="F370" s="6" t="s">
        <v>34</v>
      </c>
      <c r="G370" s="6" t="s">
        <v>8</v>
      </c>
      <c r="H370" s="11">
        <v>44511</v>
      </c>
      <c r="I370" s="6" t="s">
        <v>498</v>
      </c>
      <c r="J370" s="6" t="s">
        <v>11</v>
      </c>
      <c r="K370" s="6" t="s">
        <v>156</v>
      </c>
      <c r="L370" s="6" t="s">
        <v>58</v>
      </c>
    </row>
    <row r="371" spans="1:12">
      <c r="A371" s="3" t="s">
        <v>845</v>
      </c>
      <c r="B371" s="19">
        <v>6967</v>
      </c>
      <c r="C371" s="8">
        <v>3257</v>
      </c>
      <c r="D371" s="8">
        <v>17</v>
      </c>
      <c r="E371" s="8" t="s">
        <v>10</v>
      </c>
      <c r="F371" s="4" t="s">
        <v>28</v>
      </c>
      <c r="G371" s="4" t="s">
        <v>8</v>
      </c>
      <c r="H371" s="8" t="s">
        <v>225</v>
      </c>
      <c r="I371" s="4" t="s">
        <v>846</v>
      </c>
      <c r="J371" s="4" t="s">
        <v>22</v>
      </c>
      <c r="K371" s="4" t="s">
        <v>223</v>
      </c>
      <c r="L371" s="4" t="s">
        <v>71</v>
      </c>
    </row>
    <row r="372" spans="1:12">
      <c r="A372" s="5" t="s">
        <v>847</v>
      </c>
      <c r="B372" s="20">
        <v>6962</v>
      </c>
      <c r="C372" s="9">
        <v>3429</v>
      </c>
      <c r="D372" s="9">
        <v>12</v>
      </c>
      <c r="E372" s="9" t="s">
        <v>6</v>
      </c>
      <c r="F372" s="6" t="s">
        <v>13</v>
      </c>
      <c r="G372" s="6" t="s">
        <v>23</v>
      </c>
      <c r="H372" s="9" t="s">
        <v>848</v>
      </c>
      <c r="I372" s="6" t="s">
        <v>849</v>
      </c>
      <c r="J372" s="6" t="s">
        <v>25</v>
      </c>
      <c r="K372" s="6" t="s">
        <v>129</v>
      </c>
      <c r="L372" s="6" t="s">
        <v>86</v>
      </c>
    </row>
    <row r="373" spans="1:12">
      <c r="A373" s="3" t="s">
        <v>847</v>
      </c>
      <c r="B373" s="19">
        <v>6962</v>
      </c>
      <c r="C373" s="8">
        <v>3429</v>
      </c>
      <c r="D373" s="8">
        <v>12</v>
      </c>
      <c r="E373" s="8" t="s">
        <v>6</v>
      </c>
      <c r="F373" s="4" t="s">
        <v>13</v>
      </c>
      <c r="G373" s="4" t="s">
        <v>23</v>
      </c>
      <c r="H373" s="8" t="s">
        <v>850</v>
      </c>
      <c r="I373" s="4" t="s">
        <v>851</v>
      </c>
      <c r="J373" s="4" t="s">
        <v>11</v>
      </c>
      <c r="K373" s="4" t="s">
        <v>156</v>
      </c>
      <c r="L373" s="4" t="s">
        <v>97</v>
      </c>
    </row>
    <row r="374" spans="1:12">
      <c r="A374" s="5" t="s">
        <v>852</v>
      </c>
      <c r="B374" s="20">
        <v>6956</v>
      </c>
      <c r="C374" s="9">
        <v>318</v>
      </c>
      <c r="D374" s="9">
        <v>20</v>
      </c>
      <c r="E374" s="9" t="s">
        <v>14</v>
      </c>
      <c r="F374" s="6" t="s">
        <v>40</v>
      </c>
      <c r="G374" s="6" t="s">
        <v>16</v>
      </c>
      <c r="H374" s="9" t="s">
        <v>733</v>
      </c>
      <c r="I374" s="6" t="s">
        <v>853</v>
      </c>
      <c r="J374" s="6" t="s">
        <v>15</v>
      </c>
      <c r="K374" s="6" t="s">
        <v>171</v>
      </c>
      <c r="L374" s="6" t="s">
        <v>63</v>
      </c>
    </row>
    <row r="375" spans="1:12">
      <c r="A375" s="5" t="s">
        <v>854</v>
      </c>
      <c r="B375" s="20">
        <v>6951</v>
      </c>
      <c r="C375" s="9">
        <v>164</v>
      </c>
      <c r="D375" s="9">
        <v>10</v>
      </c>
      <c r="E375" s="9" t="s">
        <v>10</v>
      </c>
      <c r="F375" s="6" t="s">
        <v>32</v>
      </c>
      <c r="G375" s="6" t="s">
        <v>23</v>
      </c>
      <c r="H375" s="11">
        <v>44538</v>
      </c>
      <c r="I375" s="6" t="s">
        <v>855</v>
      </c>
      <c r="J375" s="6" t="s">
        <v>19</v>
      </c>
      <c r="K375" s="6" t="s">
        <v>126</v>
      </c>
      <c r="L375" s="6" t="s">
        <v>55</v>
      </c>
    </row>
    <row r="376" spans="1:12">
      <c r="A376" s="3" t="s">
        <v>856</v>
      </c>
      <c r="B376" s="19">
        <v>6940</v>
      </c>
      <c r="C376" s="8">
        <v>253</v>
      </c>
      <c r="D376" s="8">
        <v>15</v>
      </c>
      <c r="E376" s="8" t="s">
        <v>10</v>
      </c>
      <c r="F376" s="4" t="s">
        <v>28</v>
      </c>
      <c r="G376" s="4" t="s">
        <v>16</v>
      </c>
      <c r="H376" s="10">
        <v>44541</v>
      </c>
      <c r="I376" s="4" t="s">
        <v>857</v>
      </c>
      <c r="J376" s="4" t="s">
        <v>11</v>
      </c>
      <c r="K376" s="4" t="s">
        <v>120</v>
      </c>
      <c r="L376" s="4" t="s">
        <v>58</v>
      </c>
    </row>
    <row r="377" spans="1:12">
      <c r="A377" s="3" t="s">
        <v>858</v>
      </c>
      <c r="B377" s="19">
        <v>6934</v>
      </c>
      <c r="C377" s="8">
        <v>1152</v>
      </c>
      <c r="D377" s="8">
        <v>6</v>
      </c>
      <c r="E377" s="8" t="s">
        <v>14</v>
      </c>
      <c r="F377" s="4" t="s">
        <v>44</v>
      </c>
      <c r="G377" s="4" t="s">
        <v>12</v>
      </c>
      <c r="H377" s="8" t="s">
        <v>859</v>
      </c>
      <c r="I377" s="4" t="s">
        <v>860</v>
      </c>
      <c r="J377" s="4" t="s">
        <v>25</v>
      </c>
      <c r="K377" s="4" t="s">
        <v>111</v>
      </c>
      <c r="L377" s="4" t="s">
        <v>57</v>
      </c>
    </row>
    <row r="378" spans="1:12">
      <c r="A378" s="5" t="s">
        <v>858</v>
      </c>
      <c r="B378" s="20">
        <v>6934</v>
      </c>
      <c r="C378" s="9">
        <v>1152</v>
      </c>
      <c r="D378" s="9">
        <v>6</v>
      </c>
      <c r="E378" s="9" t="s">
        <v>14</v>
      </c>
      <c r="F378" s="6" t="s">
        <v>44</v>
      </c>
      <c r="G378" s="6" t="s">
        <v>12</v>
      </c>
      <c r="H378" s="11">
        <v>45231</v>
      </c>
      <c r="I378" s="6" t="s">
        <v>861</v>
      </c>
      <c r="J378" s="6" t="s">
        <v>7</v>
      </c>
      <c r="K378" s="6" t="s">
        <v>205</v>
      </c>
      <c r="L378" s="6" t="s">
        <v>72</v>
      </c>
    </row>
    <row r="379" spans="1:12">
      <c r="A379" s="5" t="s">
        <v>862</v>
      </c>
      <c r="B379" s="20">
        <v>6934</v>
      </c>
      <c r="C379" s="9">
        <v>1226</v>
      </c>
      <c r="D379" s="9">
        <v>1</v>
      </c>
      <c r="E379" s="9" t="s">
        <v>6</v>
      </c>
      <c r="F379" s="6" t="s">
        <v>13</v>
      </c>
      <c r="G379" s="6" t="s">
        <v>16</v>
      </c>
      <c r="H379" s="11">
        <v>44506</v>
      </c>
      <c r="I379" s="6" t="s">
        <v>863</v>
      </c>
      <c r="J379" s="6" t="s">
        <v>22</v>
      </c>
      <c r="K379" s="6" t="s">
        <v>223</v>
      </c>
      <c r="L379" s="6" t="s">
        <v>53</v>
      </c>
    </row>
    <row r="380" spans="1:12">
      <c r="A380" s="3" t="s">
        <v>862</v>
      </c>
      <c r="B380" s="19">
        <v>6934</v>
      </c>
      <c r="C380" s="8">
        <v>1226</v>
      </c>
      <c r="D380" s="8">
        <v>1</v>
      </c>
      <c r="E380" s="8" t="s">
        <v>6</v>
      </c>
      <c r="F380" s="4" t="s">
        <v>13</v>
      </c>
      <c r="G380" s="4" t="s">
        <v>16</v>
      </c>
      <c r="H380" s="10">
        <v>44417</v>
      </c>
      <c r="I380" s="4" t="s">
        <v>238</v>
      </c>
      <c r="J380" s="4" t="s">
        <v>19</v>
      </c>
      <c r="K380" s="4" t="s">
        <v>108</v>
      </c>
      <c r="L380" s="4" t="s">
        <v>56</v>
      </c>
    </row>
    <row r="381" spans="1:12">
      <c r="A381" s="5" t="s">
        <v>864</v>
      </c>
      <c r="B381" s="20">
        <v>6932</v>
      </c>
      <c r="C381" s="9">
        <v>3218</v>
      </c>
      <c r="D381" s="9">
        <v>20</v>
      </c>
      <c r="E381" s="9" t="s">
        <v>14</v>
      </c>
      <c r="F381" s="6" t="s">
        <v>44</v>
      </c>
      <c r="G381" s="6" t="s">
        <v>8</v>
      </c>
      <c r="H381" s="9" t="s">
        <v>865</v>
      </c>
      <c r="I381" s="6" t="s">
        <v>866</v>
      </c>
      <c r="J381" s="6" t="s">
        <v>11</v>
      </c>
      <c r="K381" s="6" t="s">
        <v>120</v>
      </c>
      <c r="L381" s="6" t="s">
        <v>37</v>
      </c>
    </row>
    <row r="382" spans="1:12">
      <c r="A382" s="5" t="s">
        <v>444</v>
      </c>
      <c r="B382" s="20">
        <v>6903</v>
      </c>
      <c r="C382" s="9">
        <v>105</v>
      </c>
      <c r="D382" s="9">
        <v>1</v>
      </c>
      <c r="E382" s="9" t="s">
        <v>10</v>
      </c>
      <c r="F382" s="6" t="s">
        <v>34</v>
      </c>
      <c r="G382" s="6" t="s">
        <v>8</v>
      </c>
      <c r="H382" s="9" t="s">
        <v>445</v>
      </c>
      <c r="I382" s="6" t="s">
        <v>446</v>
      </c>
      <c r="J382" s="6" t="s">
        <v>15</v>
      </c>
      <c r="K382" s="6" t="s">
        <v>132</v>
      </c>
      <c r="L382" s="6" t="s">
        <v>88</v>
      </c>
    </row>
    <row r="383" spans="1:12">
      <c r="A383" s="3" t="s">
        <v>867</v>
      </c>
      <c r="B383" s="19">
        <v>6891</v>
      </c>
      <c r="C383" s="8">
        <v>2529</v>
      </c>
      <c r="D383" s="8">
        <v>3</v>
      </c>
      <c r="E383" s="8" t="s">
        <v>14</v>
      </c>
      <c r="F383" s="4" t="s">
        <v>38</v>
      </c>
      <c r="G383" s="4" t="s">
        <v>16</v>
      </c>
      <c r="H383" s="10">
        <v>45296</v>
      </c>
      <c r="I383" s="4" t="s">
        <v>868</v>
      </c>
      <c r="J383" s="4" t="s">
        <v>22</v>
      </c>
      <c r="K383" s="4" t="s">
        <v>117</v>
      </c>
      <c r="L383" s="4" t="s">
        <v>88</v>
      </c>
    </row>
    <row r="384" spans="1:12">
      <c r="A384" s="3" t="s">
        <v>751</v>
      </c>
      <c r="B384" s="19">
        <v>6864</v>
      </c>
      <c r="C384" s="8">
        <v>1824</v>
      </c>
      <c r="D384" s="8">
        <v>14</v>
      </c>
      <c r="E384" s="8" t="s">
        <v>6</v>
      </c>
      <c r="F384" s="4" t="s">
        <v>24</v>
      </c>
      <c r="G384" s="4" t="s">
        <v>12</v>
      </c>
      <c r="H384" s="10">
        <v>45119</v>
      </c>
      <c r="I384" s="4" t="s">
        <v>752</v>
      </c>
      <c r="J384" s="4" t="s">
        <v>25</v>
      </c>
      <c r="K384" s="4" t="s">
        <v>111</v>
      </c>
      <c r="L384" s="4" t="s">
        <v>83</v>
      </c>
    </row>
    <row r="385" spans="1:12">
      <c r="A385" s="3" t="s">
        <v>358</v>
      </c>
      <c r="B385" s="19">
        <v>6864</v>
      </c>
      <c r="C385" s="8">
        <v>3275</v>
      </c>
      <c r="D385" s="8">
        <v>11</v>
      </c>
      <c r="E385" s="8" t="s">
        <v>10</v>
      </c>
      <c r="F385" s="4" t="s">
        <v>34</v>
      </c>
      <c r="G385" s="4" t="s">
        <v>12</v>
      </c>
      <c r="H385" s="8" t="s">
        <v>359</v>
      </c>
      <c r="I385" s="4" t="s">
        <v>360</v>
      </c>
      <c r="J385" s="4" t="s">
        <v>11</v>
      </c>
      <c r="K385" s="4" t="s">
        <v>120</v>
      </c>
      <c r="L385" s="4" t="s">
        <v>64</v>
      </c>
    </row>
    <row r="386" spans="1:12">
      <c r="A386" s="3" t="s">
        <v>719</v>
      </c>
      <c r="B386" s="19">
        <v>6851</v>
      </c>
      <c r="C386" s="8">
        <v>2812</v>
      </c>
      <c r="D386" s="8">
        <v>1</v>
      </c>
      <c r="E386" s="8" t="s">
        <v>14</v>
      </c>
      <c r="F386" s="4" t="s">
        <v>40</v>
      </c>
      <c r="G386" s="4" t="s">
        <v>16</v>
      </c>
      <c r="H386" s="10">
        <v>43926</v>
      </c>
      <c r="I386" s="4" t="s">
        <v>720</v>
      </c>
      <c r="J386" s="4" t="s">
        <v>11</v>
      </c>
      <c r="K386" s="4" t="s">
        <v>120</v>
      </c>
      <c r="L386" s="4" t="s">
        <v>33</v>
      </c>
    </row>
    <row r="387" spans="1:12">
      <c r="A387" s="3" t="s">
        <v>869</v>
      </c>
      <c r="B387" s="19">
        <v>6829</v>
      </c>
      <c r="C387" s="8">
        <v>2609</v>
      </c>
      <c r="D387" s="8">
        <v>2</v>
      </c>
      <c r="E387" s="8" t="s">
        <v>6</v>
      </c>
      <c r="F387" s="4" t="s">
        <v>17</v>
      </c>
      <c r="G387" s="4" t="s">
        <v>20</v>
      </c>
      <c r="H387" s="10">
        <v>44657</v>
      </c>
      <c r="I387" s="4" t="s">
        <v>870</v>
      </c>
      <c r="J387" s="4" t="s">
        <v>7</v>
      </c>
      <c r="K387" s="4" t="s">
        <v>124</v>
      </c>
      <c r="L387" s="4" t="s">
        <v>65</v>
      </c>
    </row>
    <row r="388" spans="1:12">
      <c r="A388" s="3" t="s">
        <v>871</v>
      </c>
      <c r="B388" s="19">
        <v>6823</v>
      </c>
      <c r="C388" s="8">
        <v>771</v>
      </c>
      <c r="D388" s="8">
        <v>6</v>
      </c>
      <c r="E388" s="8" t="s">
        <v>14</v>
      </c>
      <c r="F388" s="4" t="s">
        <v>38</v>
      </c>
      <c r="G388" s="4" t="s">
        <v>20</v>
      </c>
      <c r="H388" s="10">
        <v>45455</v>
      </c>
      <c r="I388" s="4" t="s">
        <v>872</v>
      </c>
      <c r="J388" s="4" t="s">
        <v>22</v>
      </c>
      <c r="K388" s="4" t="s">
        <v>117</v>
      </c>
      <c r="L388" s="4" t="s">
        <v>95</v>
      </c>
    </row>
    <row r="389" spans="1:12">
      <c r="A389" s="3" t="s">
        <v>873</v>
      </c>
      <c r="B389" s="19">
        <v>6800</v>
      </c>
      <c r="C389" s="8">
        <v>167</v>
      </c>
      <c r="D389" s="8">
        <v>16</v>
      </c>
      <c r="E389" s="8" t="s">
        <v>14</v>
      </c>
      <c r="F389" s="4" t="s">
        <v>38</v>
      </c>
      <c r="G389" s="4" t="s">
        <v>20</v>
      </c>
      <c r="H389" s="8" t="s">
        <v>874</v>
      </c>
      <c r="I389" s="4" t="s">
        <v>875</v>
      </c>
      <c r="J389" s="4" t="s">
        <v>11</v>
      </c>
      <c r="K389" s="4" t="s">
        <v>156</v>
      </c>
      <c r="L389" s="4" t="s">
        <v>84</v>
      </c>
    </row>
    <row r="390" spans="1:12">
      <c r="A390" s="3" t="s">
        <v>876</v>
      </c>
      <c r="B390" s="19">
        <v>6783</v>
      </c>
      <c r="C390" s="8">
        <v>3306</v>
      </c>
      <c r="D390" s="8">
        <v>8</v>
      </c>
      <c r="E390" s="8" t="s">
        <v>10</v>
      </c>
      <c r="F390" s="4" t="s">
        <v>32</v>
      </c>
      <c r="G390" s="4" t="s">
        <v>16</v>
      </c>
      <c r="H390" s="8" t="s">
        <v>877</v>
      </c>
      <c r="I390" s="4" t="s">
        <v>878</v>
      </c>
      <c r="J390" s="4" t="s">
        <v>22</v>
      </c>
      <c r="K390" s="4" t="s">
        <v>179</v>
      </c>
      <c r="L390" s="4" t="s">
        <v>31</v>
      </c>
    </row>
    <row r="391" spans="1:12">
      <c r="A391" s="3" t="s">
        <v>879</v>
      </c>
      <c r="B391" s="19">
        <v>6732</v>
      </c>
      <c r="C391" s="8">
        <v>911</v>
      </c>
      <c r="D391" s="8">
        <v>19</v>
      </c>
      <c r="E391" s="8" t="s">
        <v>10</v>
      </c>
      <c r="F391" s="4" t="s">
        <v>28</v>
      </c>
      <c r="G391" s="4" t="s">
        <v>20</v>
      </c>
      <c r="H391" s="8" t="s">
        <v>880</v>
      </c>
      <c r="I391" s="4" t="s">
        <v>881</v>
      </c>
      <c r="J391" s="4" t="s">
        <v>19</v>
      </c>
      <c r="K391" s="4" t="s">
        <v>126</v>
      </c>
      <c r="L391" s="4" t="s">
        <v>59</v>
      </c>
    </row>
    <row r="392" spans="1:12">
      <c r="A392" s="3" t="s">
        <v>882</v>
      </c>
      <c r="B392" s="19">
        <v>6724</v>
      </c>
      <c r="C392" s="8">
        <v>1539</v>
      </c>
      <c r="D392" s="8">
        <v>19</v>
      </c>
      <c r="E392" s="8" t="s">
        <v>10</v>
      </c>
      <c r="F392" s="4" t="s">
        <v>28</v>
      </c>
      <c r="G392" s="4" t="s">
        <v>8</v>
      </c>
      <c r="H392" s="8" t="s">
        <v>883</v>
      </c>
      <c r="I392" s="4" t="s">
        <v>884</v>
      </c>
      <c r="J392" s="4" t="s">
        <v>7</v>
      </c>
      <c r="K392" s="4" t="s">
        <v>124</v>
      </c>
      <c r="L392" s="4" t="s">
        <v>59</v>
      </c>
    </row>
    <row r="393" spans="1:12">
      <c r="A393" s="5" t="s">
        <v>882</v>
      </c>
      <c r="B393" s="20">
        <v>6724</v>
      </c>
      <c r="C393" s="9">
        <v>1539</v>
      </c>
      <c r="D393" s="9">
        <v>19</v>
      </c>
      <c r="E393" s="9" t="s">
        <v>10</v>
      </c>
      <c r="F393" s="6" t="s">
        <v>28</v>
      </c>
      <c r="G393" s="6" t="s">
        <v>8</v>
      </c>
      <c r="H393" s="11">
        <v>44261</v>
      </c>
      <c r="I393" s="6" t="s">
        <v>885</v>
      </c>
      <c r="J393" s="6" t="s">
        <v>25</v>
      </c>
      <c r="K393" s="6" t="s">
        <v>129</v>
      </c>
      <c r="L393" s="6" t="s">
        <v>53</v>
      </c>
    </row>
    <row r="394" spans="1:12">
      <c r="A394" s="3" t="s">
        <v>886</v>
      </c>
      <c r="B394" s="19">
        <v>6711</v>
      </c>
      <c r="C394" s="8">
        <v>1045</v>
      </c>
      <c r="D394" s="8">
        <v>12</v>
      </c>
      <c r="E394" s="8" t="s">
        <v>14</v>
      </c>
      <c r="F394" s="4" t="s">
        <v>44</v>
      </c>
      <c r="G394" s="4" t="s">
        <v>12</v>
      </c>
      <c r="H394" s="10">
        <v>45632</v>
      </c>
      <c r="I394" s="4" t="s">
        <v>887</v>
      </c>
      <c r="J394" s="4" t="s">
        <v>7</v>
      </c>
      <c r="K394" s="4" t="s">
        <v>124</v>
      </c>
      <c r="L394" s="4" t="s">
        <v>89</v>
      </c>
    </row>
    <row r="395" spans="1:12">
      <c r="A395" s="3" t="s">
        <v>888</v>
      </c>
      <c r="B395" s="19">
        <v>6707</v>
      </c>
      <c r="C395" s="8">
        <v>1041</v>
      </c>
      <c r="D395" s="8">
        <v>20</v>
      </c>
      <c r="E395" s="8" t="s">
        <v>6</v>
      </c>
      <c r="F395" s="4" t="s">
        <v>21</v>
      </c>
      <c r="G395" s="4" t="s">
        <v>12</v>
      </c>
      <c r="H395" s="8" t="s">
        <v>889</v>
      </c>
      <c r="I395" s="4" t="s">
        <v>890</v>
      </c>
      <c r="J395" s="4" t="s">
        <v>25</v>
      </c>
      <c r="K395" s="4" t="s">
        <v>111</v>
      </c>
      <c r="L395" s="4" t="s">
        <v>56</v>
      </c>
    </row>
    <row r="396" spans="1:12">
      <c r="A396" s="3" t="s">
        <v>891</v>
      </c>
      <c r="B396" s="19">
        <v>6690</v>
      </c>
      <c r="C396" s="8">
        <v>1001</v>
      </c>
      <c r="D396" s="8">
        <v>19</v>
      </c>
      <c r="E396" s="8" t="s">
        <v>14</v>
      </c>
      <c r="F396" s="4" t="s">
        <v>38</v>
      </c>
      <c r="G396" s="4" t="s">
        <v>23</v>
      </c>
      <c r="H396" s="10">
        <v>44718</v>
      </c>
      <c r="I396" s="4" t="s">
        <v>892</v>
      </c>
      <c r="J396" s="4" t="s">
        <v>15</v>
      </c>
      <c r="K396" s="4" t="s">
        <v>171</v>
      </c>
      <c r="L396" s="4" t="s">
        <v>65</v>
      </c>
    </row>
    <row r="397" spans="1:12">
      <c r="A397" s="5" t="s">
        <v>891</v>
      </c>
      <c r="B397" s="20">
        <v>6690</v>
      </c>
      <c r="C397" s="9">
        <v>1001</v>
      </c>
      <c r="D397" s="9">
        <v>19</v>
      </c>
      <c r="E397" s="9" t="s">
        <v>14</v>
      </c>
      <c r="F397" s="6" t="s">
        <v>38</v>
      </c>
      <c r="G397" s="6" t="s">
        <v>23</v>
      </c>
      <c r="H397" s="9" t="s">
        <v>893</v>
      </c>
      <c r="I397" s="6" t="s">
        <v>894</v>
      </c>
      <c r="J397" s="6" t="s">
        <v>15</v>
      </c>
      <c r="K397" s="6" t="s">
        <v>132</v>
      </c>
      <c r="L397" s="6" t="s">
        <v>58</v>
      </c>
    </row>
    <row r="398" spans="1:12">
      <c r="A398" s="5" t="s">
        <v>895</v>
      </c>
      <c r="B398" s="20">
        <v>6673</v>
      </c>
      <c r="C398" s="9">
        <v>950</v>
      </c>
      <c r="D398" s="9">
        <v>19</v>
      </c>
      <c r="E398" s="9" t="s">
        <v>14</v>
      </c>
      <c r="F398" s="6" t="s">
        <v>40</v>
      </c>
      <c r="G398" s="6" t="s">
        <v>20</v>
      </c>
      <c r="H398" s="9" t="s">
        <v>896</v>
      </c>
      <c r="I398" s="6" t="s">
        <v>897</v>
      </c>
      <c r="J398" s="6" t="s">
        <v>19</v>
      </c>
      <c r="K398" s="6" t="s">
        <v>126</v>
      </c>
      <c r="L398" s="6" t="s">
        <v>95</v>
      </c>
    </row>
    <row r="399" spans="1:12">
      <c r="A399" s="5" t="s">
        <v>898</v>
      </c>
      <c r="B399" s="20">
        <v>6672</v>
      </c>
      <c r="C399" s="9">
        <v>3319</v>
      </c>
      <c r="D399" s="9">
        <v>4</v>
      </c>
      <c r="E399" s="9" t="s">
        <v>10</v>
      </c>
      <c r="F399" s="6" t="s">
        <v>34</v>
      </c>
      <c r="G399" s="6" t="s">
        <v>23</v>
      </c>
      <c r="H399" s="9" t="s">
        <v>899</v>
      </c>
      <c r="I399" s="6" t="s">
        <v>900</v>
      </c>
      <c r="J399" s="6" t="s">
        <v>25</v>
      </c>
      <c r="K399" s="6" t="s">
        <v>129</v>
      </c>
      <c r="L399" s="6" t="s">
        <v>82</v>
      </c>
    </row>
    <row r="400" spans="1:12">
      <c r="A400" s="3" t="s">
        <v>898</v>
      </c>
      <c r="B400" s="19">
        <v>6672</v>
      </c>
      <c r="C400" s="8">
        <v>3319</v>
      </c>
      <c r="D400" s="8">
        <v>4</v>
      </c>
      <c r="E400" s="8" t="s">
        <v>10</v>
      </c>
      <c r="F400" s="4" t="s">
        <v>34</v>
      </c>
      <c r="G400" s="4" t="s">
        <v>23</v>
      </c>
      <c r="H400" s="8" t="s">
        <v>901</v>
      </c>
      <c r="I400" s="4" t="s">
        <v>902</v>
      </c>
      <c r="J400" s="4" t="s">
        <v>7</v>
      </c>
      <c r="K400" s="4" t="s">
        <v>162</v>
      </c>
      <c r="L400" s="4" t="s">
        <v>88</v>
      </c>
    </row>
    <row r="401" spans="1:12">
      <c r="A401" s="3" t="s">
        <v>903</v>
      </c>
      <c r="B401" s="19">
        <v>6671</v>
      </c>
      <c r="C401" s="8">
        <v>2797</v>
      </c>
      <c r="D401" s="8">
        <v>10</v>
      </c>
      <c r="E401" s="8" t="s">
        <v>6</v>
      </c>
      <c r="F401" s="4" t="s">
        <v>21</v>
      </c>
      <c r="G401" s="4" t="s">
        <v>23</v>
      </c>
      <c r="H401" s="10">
        <v>44907</v>
      </c>
      <c r="I401" s="4" t="s">
        <v>904</v>
      </c>
      <c r="J401" s="4" t="s">
        <v>15</v>
      </c>
      <c r="K401" s="4" t="s">
        <v>235</v>
      </c>
      <c r="L401" s="4" t="s">
        <v>71</v>
      </c>
    </row>
    <row r="402" spans="1:12">
      <c r="A402" s="3" t="s">
        <v>905</v>
      </c>
      <c r="B402" s="19">
        <v>6669</v>
      </c>
      <c r="C402" s="8">
        <v>3063</v>
      </c>
      <c r="D402" s="8">
        <v>19</v>
      </c>
      <c r="E402" s="8" t="s">
        <v>6</v>
      </c>
      <c r="F402" s="4" t="s">
        <v>24</v>
      </c>
      <c r="G402" s="4" t="s">
        <v>23</v>
      </c>
      <c r="H402" s="10">
        <v>45268</v>
      </c>
      <c r="I402" s="4" t="s">
        <v>906</v>
      </c>
      <c r="J402" s="4" t="s">
        <v>22</v>
      </c>
      <c r="K402" s="4" t="s">
        <v>223</v>
      </c>
      <c r="L402" s="4" t="s">
        <v>79</v>
      </c>
    </row>
    <row r="403" spans="1:12">
      <c r="A403" s="5" t="s">
        <v>907</v>
      </c>
      <c r="B403" s="20">
        <v>6646</v>
      </c>
      <c r="C403" s="9">
        <v>848</v>
      </c>
      <c r="D403" s="9">
        <v>15</v>
      </c>
      <c r="E403" s="9" t="s">
        <v>10</v>
      </c>
      <c r="F403" s="6" t="s">
        <v>32</v>
      </c>
      <c r="G403" s="6" t="s">
        <v>16</v>
      </c>
      <c r="H403" s="9" t="s">
        <v>908</v>
      </c>
      <c r="I403" s="6" t="s">
        <v>909</v>
      </c>
      <c r="J403" s="6" t="s">
        <v>19</v>
      </c>
      <c r="K403" s="6" t="s">
        <v>210</v>
      </c>
      <c r="L403" s="6" t="s">
        <v>79</v>
      </c>
    </row>
    <row r="404" spans="1:12">
      <c r="A404" s="3" t="s">
        <v>907</v>
      </c>
      <c r="B404" s="19">
        <v>6646</v>
      </c>
      <c r="C404" s="8">
        <v>848</v>
      </c>
      <c r="D404" s="8">
        <v>15</v>
      </c>
      <c r="E404" s="8" t="s">
        <v>10</v>
      </c>
      <c r="F404" s="4" t="s">
        <v>32</v>
      </c>
      <c r="G404" s="4" t="s">
        <v>16</v>
      </c>
      <c r="H404" s="8" t="s">
        <v>910</v>
      </c>
      <c r="I404" s="4" t="s">
        <v>911</v>
      </c>
      <c r="J404" s="4" t="s">
        <v>19</v>
      </c>
      <c r="K404" s="4" t="s">
        <v>126</v>
      </c>
      <c r="L404" s="4" t="s">
        <v>78</v>
      </c>
    </row>
    <row r="405" spans="1:12">
      <c r="A405" s="5" t="s">
        <v>912</v>
      </c>
      <c r="B405" s="20">
        <v>6622</v>
      </c>
      <c r="C405" s="9">
        <v>2673</v>
      </c>
      <c r="D405" s="9">
        <v>8</v>
      </c>
      <c r="E405" s="9" t="s">
        <v>10</v>
      </c>
      <c r="F405" s="6" t="s">
        <v>32</v>
      </c>
      <c r="G405" s="6" t="s">
        <v>8</v>
      </c>
      <c r="H405" s="11">
        <v>45569</v>
      </c>
      <c r="I405" s="6" t="s">
        <v>913</v>
      </c>
      <c r="J405" s="6" t="s">
        <v>19</v>
      </c>
      <c r="K405" s="6" t="s">
        <v>210</v>
      </c>
      <c r="L405" s="6" t="s">
        <v>87</v>
      </c>
    </row>
    <row r="406" spans="1:12">
      <c r="A406" s="5" t="s">
        <v>914</v>
      </c>
      <c r="B406" s="20">
        <v>6596</v>
      </c>
      <c r="C406" s="9">
        <v>1439</v>
      </c>
      <c r="D406" s="9">
        <v>9</v>
      </c>
      <c r="E406" s="9" t="s">
        <v>14</v>
      </c>
      <c r="F406" s="6" t="s">
        <v>42</v>
      </c>
      <c r="G406" s="6" t="s">
        <v>16</v>
      </c>
      <c r="H406" s="11">
        <v>44990</v>
      </c>
      <c r="I406" s="6" t="s">
        <v>915</v>
      </c>
      <c r="J406" s="6" t="s">
        <v>22</v>
      </c>
      <c r="K406" s="6" t="s">
        <v>223</v>
      </c>
      <c r="L406" s="6" t="s">
        <v>76</v>
      </c>
    </row>
    <row r="407" spans="1:12">
      <c r="A407" s="3" t="s">
        <v>916</v>
      </c>
      <c r="B407" s="19">
        <v>6586</v>
      </c>
      <c r="C407" s="8">
        <v>1794</v>
      </c>
      <c r="D407" s="8">
        <v>19</v>
      </c>
      <c r="E407" s="8" t="s">
        <v>10</v>
      </c>
      <c r="F407" s="4" t="s">
        <v>28</v>
      </c>
      <c r="G407" s="4" t="s">
        <v>16</v>
      </c>
      <c r="H407" s="10">
        <v>44208</v>
      </c>
      <c r="I407" s="4" t="s">
        <v>917</v>
      </c>
      <c r="J407" s="4" t="s">
        <v>25</v>
      </c>
      <c r="K407" s="4" t="s">
        <v>111</v>
      </c>
      <c r="L407" s="4" t="s">
        <v>59</v>
      </c>
    </row>
    <row r="408" spans="1:12">
      <c r="A408" s="5" t="s">
        <v>918</v>
      </c>
      <c r="B408" s="20">
        <v>6584</v>
      </c>
      <c r="C408" s="9">
        <v>371</v>
      </c>
      <c r="D408" s="9">
        <v>6</v>
      </c>
      <c r="E408" s="9" t="s">
        <v>14</v>
      </c>
      <c r="F408" s="6" t="s">
        <v>40</v>
      </c>
      <c r="G408" s="6" t="s">
        <v>23</v>
      </c>
      <c r="H408" s="9" t="s">
        <v>919</v>
      </c>
      <c r="I408" s="6" t="s">
        <v>920</v>
      </c>
      <c r="J408" s="6" t="s">
        <v>22</v>
      </c>
      <c r="K408" s="6" t="s">
        <v>117</v>
      </c>
      <c r="L408" s="6" t="s">
        <v>55</v>
      </c>
    </row>
    <row r="409" spans="1:12">
      <c r="A409" s="3" t="s">
        <v>918</v>
      </c>
      <c r="B409" s="19">
        <v>6584</v>
      </c>
      <c r="C409" s="8">
        <v>371</v>
      </c>
      <c r="D409" s="8">
        <v>6</v>
      </c>
      <c r="E409" s="8" t="s">
        <v>14</v>
      </c>
      <c r="F409" s="4" t="s">
        <v>40</v>
      </c>
      <c r="G409" s="4" t="s">
        <v>23</v>
      </c>
      <c r="H409" s="8" t="s">
        <v>921</v>
      </c>
      <c r="I409" s="4" t="s">
        <v>922</v>
      </c>
      <c r="J409" s="4" t="s">
        <v>22</v>
      </c>
      <c r="K409" s="4" t="s">
        <v>179</v>
      </c>
      <c r="L409" s="4" t="s">
        <v>52</v>
      </c>
    </row>
    <row r="410" spans="1:12">
      <c r="A410" s="3" t="s">
        <v>416</v>
      </c>
      <c r="B410" s="19">
        <v>6528</v>
      </c>
      <c r="C410" s="8">
        <v>76</v>
      </c>
      <c r="D410" s="8">
        <v>9</v>
      </c>
      <c r="E410" s="8" t="s">
        <v>6</v>
      </c>
      <c r="F410" s="4" t="s">
        <v>21</v>
      </c>
      <c r="G410" s="4" t="s">
        <v>16</v>
      </c>
      <c r="H410" s="10">
        <v>43926</v>
      </c>
      <c r="I410" s="4" t="s">
        <v>417</v>
      </c>
      <c r="J410" s="4" t="s">
        <v>19</v>
      </c>
      <c r="K410" s="4" t="s">
        <v>126</v>
      </c>
      <c r="L410" s="4" t="s">
        <v>33</v>
      </c>
    </row>
    <row r="411" spans="1:12">
      <c r="A411" s="3" t="s">
        <v>923</v>
      </c>
      <c r="B411" s="19">
        <v>6517</v>
      </c>
      <c r="C411" s="8">
        <v>1581</v>
      </c>
      <c r="D411" s="8">
        <v>10</v>
      </c>
      <c r="E411" s="8" t="s">
        <v>14</v>
      </c>
      <c r="F411" s="4" t="s">
        <v>42</v>
      </c>
      <c r="G411" s="4" t="s">
        <v>16</v>
      </c>
      <c r="H411" s="8" t="s">
        <v>924</v>
      </c>
      <c r="I411" s="4" t="s">
        <v>925</v>
      </c>
      <c r="J411" s="4" t="s">
        <v>11</v>
      </c>
      <c r="K411" s="4" t="s">
        <v>156</v>
      </c>
      <c r="L411" s="4" t="s">
        <v>88</v>
      </c>
    </row>
    <row r="412" spans="1:12">
      <c r="A412" s="5" t="s">
        <v>923</v>
      </c>
      <c r="B412" s="20">
        <v>6517</v>
      </c>
      <c r="C412" s="9">
        <v>1581</v>
      </c>
      <c r="D412" s="9">
        <v>10</v>
      </c>
      <c r="E412" s="9" t="s">
        <v>14</v>
      </c>
      <c r="F412" s="6" t="s">
        <v>42</v>
      </c>
      <c r="G412" s="6" t="s">
        <v>16</v>
      </c>
      <c r="H412" s="9" t="s">
        <v>926</v>
      </c>
      <c r="I412" s="6" t="s">
        <v>927</v>
      </c>
      <c r="J412" s="6" t="s">
        <v>11</v>
      </c>
      <c r="K412" s="6" t="s">
        <v>136</v>
      </c>
      <c r="L412" s="6" t="s">
        <v>33</v>
      </c>
    </row>
    <row r="413" spans="1:12">
      <c r="A413" s="5" t="s">
        <v>928</v>
      </c>
      <c r="B413" s="20">
        <v>6515</v>
      </c>
      <c r="C413" s="9">
        <v>961</v>
      </c>
      <c r="D413" s="9">
        <v>11</v>
      </c>
      <c r="E413" s="9" t="s">
        <v>10</v>
      </c>
      <c r="F413" s="6" t="s">
        <v>32</v>
      </c>
      <c r="G413" s="6" t="s">
        <v>16</v>
      </c>
      <c r="H413" s="9" t="s">
        <v>929</v>
      </c>
      <c r="I413" s="6" t="s">
        <v>930</v>
      </c>
      <c r="J413" s="6" t="s">
        <v>7</v>
      </c>
      <c r="K413" s="6" t="s">
        <v>162</v>
      </c>
      <c r="L413" s="6" t="s">
        <v>41</v>
      </c>
    </row>
    <row r="414" spans="1:12">
      <c r="A414" s="5" t="s">
        <v>931</v>
      </c>
      <c r="B414" s="20">
        <v>6499</v>
      </c>
      <c r="C414" s="9">
        <v>2189</v>
      </c>
      <c r="D414" s="9">
        <v>18</v>
      </c>
      <c r="E414" s="9" t="s">
        <v>6</v>
      </c>
      <c r="F414" s="6" t="s">
        <v>13</v>
      </c>
      <c r="G414" s="6" t="s">
        <v>20</v>
      </c>
      <c r="H414" s="9" t="s">
        <v>932</v>
      </c>
      <c r="I414" s="6" t="s">
        <v>933</v>
      </c>
      <c r="J414" s="6" t="s">
        <v>19</v>
      </c>
      <c r="K414" s="6" t="s">
        <v>210</v>
      </c>
      <c r="L414" s="6" t="s">
        <v>89</v>
      </c>
    </row>
    <row r="415" spans="1:12">
      <c r="A415" s="3" t="s">
        <v>931</v>
      </c>
      <c r="B415" s="19">
        <v>6499</v>
      </c>
      <c r="C415" s="8">
        <v>2189</v>
      </c>
      <c r="D415" s="8">
        <v>18</v>
      </c>
      <c r="E415" s="8" t="s">
        <v>6</v>
      </c>
      <c r="F415" s="4" t="s">
        <v>13</v>
      </c>
      <c r="G415" s="4" t="s">
        <v>20</v>
      </c>
      <c r="H415" s="10">
        <v>44259</v>
      </c>
      <c r="I415" s="4" t="s">
        <v>934</v>
      </c>
      <c r="J415" s="4" t="s">
        <v>11</v>
      </c>
      <c r="K415" s="4" t="s">
        <v>120</v>
      </c>
      <c r="L415" s="4" t="s">
        <v>51</v>
      </c>
    </row>
    <row r="416" spans="1:12">
      <c r="A416" s="3" t="s">
        <v>935</v>
      </c>
      <c r="B416" s="19">
        <v>6488</v>
      </c>
      <c r="C416" s="8">
        <v>1591</v>
      </c>
      <c r="D416" s="8">
        <v>18</v>
      </c>
      <c r="E416" s="8" t="s">
        <v>6</v>
      </c>
      <c r="F416" s="4" t="s">
        <v>24</v>
      </c>
      <c r="G416" s="4" t="s">
        <v>20</v>
      </c>
      <c r="H416" s="8" t="s">
        <v>936</v>
      </c>
      <c r="I416" s="4" t="s">
        <v>937</v>
      </c>
      <c r="J416" s="4" t="s">
        <v>25</v>
      </c>
      <c r="K416" s="4" t="s">
        <v>129</v>
      </c>
      <c r="L416" s="4" t="s">
        <v>76</v>
      </c>
    </row>
    <row r="417" spans="1:12">
      <c r="A417" s="5" t="s">
        <v>935</v>
      </c>
      <c r="B417" s="20">
        <v>6488</v>
      </c>
      <c r="C417" s="9">
        <v>1591</v>
      </c>
      <c r="D417" s="9">
        <v>18</v>
      </c>
      <c r="E417" s="9" t="s">
        <v>6</v>
      </c>
      <c r="F417" s="6" t="s">
        <v>24</v>
      </c>
      <c r="G417" s="6" t="s">
        <v>20</v>
      </c>
      <c r="H417" s="9" t="s">
        <v>938</v>
      </c>
      <c r="I417" s="6" t="s">
        <v>939</v>
      </c>
      <c r="J417" s="6" t="s">
        <v>25</v>
      </c>
      <c r="K417" s="6" t="s">
        <v>253</v>
      </c>
      <c r="L417" s="6" t="s">
        <v>45</v>
      </c>
    </row>
    <row r="418" spans="1:12">
      <c r="A418" s="5" t="s">
        <v>940</v>
      </c>
      <c r="B418" s="20">
        <v>6485</v>
      </c>
      <c r="C418" s="9">
        <v>3178</v>
      </c>
      <c r="D418" s="9">
        <v>18</v>
      </c>
      <c r="E418" s="9" t="s">
        <v>10</v>
      </c>
      <c r="F418" s="6" t="s">
        <v>32</v>
      </c>
      <c r="G418" s="6" t="s">
        <v>23</v>
      </c>
      <c r="H418" s="9" t="s">
        <v>320</v>
      </c>
      <c r="I418" s="6" t="s">
        <v>941</v>
      </c>
      <c r="J418" s="6" t="s">
        <v>22</v>
      </c>
      <c r="K418" s="6" t="s">
        <v>179</v>
      </c>
      <c r="L418" s="6" t="s">
        <v>78</v>
      </c>
    </row>
    <row r="419" spans="1:12">
      <c r="A419" s="3" t="s">
        <v>942</v>
      </c>
      <c r="B419" s="19">
        <v>6471</v>
      </c>
      <c r="C419" s="8">
        <v>2842</v>
      </c>
      <c r="D419" s="8">
        <v>18</v>
      </c>
      <c r="E419" s="8" t="s">
        <v>6</v>
      </c>
      <c r="F419" s="4" t="s">
        <v>13</v>
      </c>
      <c r="G419" s="4" t="s">
        <v>23</v>
      </c>
      <c r="H419" s="8" t="s">
        <v>943</v>
      </c>
      <c r="I419" s="4" t="s">
        <v>944</v>
      </c>
      <c r="J419" s="4" t="s">
        <v>15</v>
      </c>
      <c r="K419" s="4" t="s">
        <v>235</v>
      </c>
      <c r="L419" s="4" t="s">
        <v>90</v>
      </c>
    </row>
    <row r="420" spans="1:12">
      <c r="A420" s="3" t="s">
        <v>945</v>
      </c>
      <c r="B420" s="19">
        <v>6459</v>
      </c>
      <c r="C420" s="8">
        <v>825</v>
      </c>
      <c r="D420" s="8">
        <v>8</v>
      </c>
      <c r="E420" s="8" t="s">
        <v>6</v>
      </c>
      <c r="F420" s="4" t="s">
        <v>21</v>
      </c>
      <c r="G420" s="4" t="s">
        <v>12</v>
      </c>
      <c r="H420" s="10">
        <v>44693</v>
      </c>
      <c r="I420" s="4" t="s">
        <v>946</v>
      </c>
      <c r="J420" s="4" t="s">
        <v>25</v>
      </c>
      <c r="K420" s="4" t="s">
        <v>129</v>
      </c>
      <c r="L420" s="4" t="s">
        <v>71</v>
      </c>
    </row>
    <row r="421" spans="1:12">
      <c r="A421" s="5" t="s">
        <v>945</v>
      </c>
      <c r="B421" s="20">
        <v>6459</v>
      </c>
      <c r="C421" s="9">
        <v>825</v>
      </c>
      <c r="D421" s="9">
        <v>8</v>
      </c>
      <c r="E421" s="9" t="s">
        <v>6</v>
      </c>
      <c r="F421" s="6" t="s">
        <v>21</v>
      </c>
      <c r="G421" s="6" t="s">
        <v>12</v>
      </c>
      <c r="H421" s="9" t="s">
        <v>947</v>
      </c>
      <c r="I421" s="6" t="s">
        <v>948</v>
      </c>
      <c r="J421" s="6" t="s">
        <v>7</v>
      </c>
      <c r="K421" s="6" t="s">
        <v>124</v>
      </c>
      <c r="L421" s="6" t="s">
        <v>92</v>
      </c>
    </row>
    <row r="422" spans="1:12">
      <c r="A422" s="3" t="s">
        <v>949</v>
      </c>
      <c r="B422" s="19">
        <v>6449</v>
      </c>
      <c r="C422" s="8">
        <v>2628</v>
      </c>
      <c r="D422" s="8">
        <v>11</v>
      </c>
      <c r="E422" s="8" t="s">
        <v>10</v>
      </c>
      <c r="F422" s="4" t="s">
        <v>28</v>
      </c>
      <c r="G422" s="4" t="s">
        <v>20</v>
      </c>
      <c r="H422" s="8" t="s">
        <v>950</v>
      </c>
      <c r="I422" s="4" t="s">
        <v>951</v>
      </c>
      <c r="J422" s="4" t="s">
        <v>11</v>
      </c>
      <c r="K422" s="4" t="s">
        <v>136</v>
      </c>
      <c r="L422" s="4" t="s">
        <v>80</v>
      </c>
    </row>
    <row r="423" spans="1:12">
      <c r="A423" s="5" t="s">
        <v>949</v>
      </c>
      <c r="B423" s="20">
        <v>6449</v>
      </c>
      <c r="C423" s="9">
        <v>2628</v>
      </c>
      <c r="D423" s="9">
        <v>11</v>
      </c>
      <c r="E423" s="9" t="s">
        <v>10</v>
      </c>
      <c r="F423" s="6" t="s">
        <v>28</v>
      </c>
      <c r="G423" s="6" t="s">
        <v>20</v>
      </c>
      <c r="H423" s="9" t="s">
        <v>952</v>
      </c>
      <c r="I423" s="6" t="s">
        <v>953</v>
      </c>
      <c r="J423" s="6" t="s">
        <v>25</v>
      </c>
      <c r="K423" s="6" t="s">
        <v>129</v>
      </c>
      <c r="L423" s="6" t="s">
        <v>95</v>
      </c>
    </row>
    <row r="424" spans="1:12">
      <c r="A424" s="3" t="s">
        <v>406</v>
      </c>
      <c r="B424" s="19">
        <v>6447</v>
      </c>
      <c r="C424" s="8">
        <v>3079</v>
      </c>
      <c r="D424" s="8">
        <v>20</v>
      </c>
      <c r="E424" s="8" t="s">
        <v>6</v>
      </c>
      <c r="F424" s="4" t="s">
        <v>17</v>
      </c>
      <c r="G424" s="4" t="s">
        <v>8</v>
      </c>
      <c r="H424" s="8" t="s">
        <v>407</v>
      </c>
      <c r="I424" s="4" t="s">
        <v>408</v>
      </c>
      <c r="J424" s="4" t="s">
        <v>19</v>
      </c>
      <c r="K424" s="4" t="s">
        <v>108</v>
      </c>
      <c r="L424" s="4" t="s">
        <v>50</v>
      </c>
    </row>
    <row r="425" spans="1:12">
      <c r="A425" s="5" t="s">
        <v>251</v>
      </c>
      <c r="B425" s="20">
        <v>6435</v>
      </c>
      <c r="C425" s="9">
        <v>334</v>
      </c>
      <c r="D425" s="9">
        <v>10</v>
      </c>
      <c r="E425" s="9" t="s">
        <v>6</v>
      </c>
      <c r="F425" s="6" t="s">
        <v>13</v>
      </c>
      <c r="G425" s="6" t="s">
        <v>16</v>
      </c>
      <c r="H425" s="11">
        <v>44350</v>
      </c>
      <c r="I425" s="6" t="s">
        <v>252</v>
      </c>
      <c r="J425" s="6" t="s">
        <v>25</v>
      </c>
      <c r="K425" s="6" t="s">
        <v>253</v>
      </c>
      <c r="L425" s="6" t="s">
        <v>50</v>
      </c>
    </row>
    <row r="426" spans="1:12">
      <c r="A426" s="3" t="s">
        <v>954</v>
      </c>
      <c r="B426" s="19">
        <v>6402</v>
      </c>
      <c r="C426" s="8">
        <v>2770</v>
      </c>
      <c r="D426" s="8">
        <v>19</v>
      </c>
      <c r="E426" s="8" t="s">
        <v>14</v>
      </c>
      <c r="F426" s="4" t="s">
        <v>40</v>
      </c>
      <c r="G426" s="4" t="s">
        <v>16</v>
      </c>
      <c r="H426" s="10">
        <v>45568</v>
      </c>
      <c r="I426" s="4" t="s">
        <v>955</v>
      </c>
      <c r="J426" s="4" t="s">
        <v>11</v>
      </c>
      <c r="K426" s="4" t="s">
        <v>120</v>
      </c>
      <c r="L426" s="4" t="s">
        <v>86</v>
      </c>
    </row>
    <row r="427" spans="1:12">
      <c r="A427" s="5" t="s">
        <v>954</v>
      </c>
      <c r="B427" s="20">
        <v>6402</v>
      </c>
      <c r="C427" s="9">
        <v>2770</v>
      </c>
      <c r="D427" s="9">
        <v>19</v>
      </c>
      <c r="E427" s="9" t="s">
        <v>14</v>
      </c>
      <c r="F427" s="6" t="s">
        <v>40</v>
      </c>
      <c r="G427" s="6" t="s">
        <v>16</v>
      </c>
      <c r="H427" s="11">
        <v>45056</v>
      </c>
      <c r="I427" s="6" t="s">
        <v>956</v>
      </c>
      <c r="J427" s="6" t="s">
        <v>11</v>
      </c>
      <c r="K427" s="6" t="s">
        <v>120</v>
      </c>
      <c r="L427" s="6" t="s">
        <v>81</v>
      </c>
    </row>
    <row r="428" spans="1:12">
      <c r="A428" s="5" t="s">
        <v>957</v>
      </c>
      <c r="B428" s="20">
        <v>6392</v>
      </c>
      <c r="C428" s="9">
        <v>444</v>
      </c>
      <c r="D428" s="9">
        <v>18</v>
      </c>
      <c r="E428" s="9" t="s">
        <v>6</v>
      </c>
      <c r="F428" s="6" t="s">
        <v>13</v>
      </c>
      <c r="G428" s="6" t="s">
        <v>12</v>
      </c>
      <c r="H428" s="9" t="s">
        <v>958</v>
      </c>
      <c r="I428" s="6" t="s">
        <v>959</v>
      </c>
      <c r="J428" s="6" t="s">
        <v>11</v>
      </c>
      <c r="K428" s="6" t="s">
        <v>136</v>
      </c>
      <c r="L428" s="6" t="s">
        <v>82</v>
      </c>
    </row>
    <row r="429" spans="1:12">
      <c r="A429" s="5" t="s">
        <v>869</v>
      </c>
      <c r="B429" s="20">
        <v>6390</v>
      </c>
      <c r="C429" s="9">
        <v>3089</v>
      </c>
      <c r="D429" s="9">
        <v>12</v>
      </c>
      <c r="E429" s="9" t="s">
        <v>14</v>
      </c>
      <c r="F429" s="6" t="s">
        <v>42</v>
      </c>
      <c r="G429" s="6" t="s">
        <v>8</v>
      </c>
      <c r="H429" s="11">
        <v>44657</v>
      </c>
      <c r="I429" s="6" t="s">
        <v>870</v>
      </c>
      <c r="J429" s="6" t="s">
        <v>7</v>
      </c>
      <c r="K429" s="6" t="s">
        <v>124</v>
      </c>
      <c r="L429" s="6" t="s">
        <v>65</v>
      </c>
    </row>
    <row r="430" spans="1:12">
      <c r="A430" s="5" t="s">
        <v>960</v>
      </c>
      <c r="B430" s="20">
        <v>6389</v>
      </c>
      <c r="C430" s="9">
        <v>734</v>
      </c>
      <c r="D430" s="9">
        <v>1</v>
      </c>
      <c r="E430" s="9" t="s">
        <v>10</v>
      </c>
      <c r="F430" s="6" t="s">
        <v>32</v>
      </c>
      <c r="G430" s="6" t="s">
        <v>20</v>
      </c>
      <c r="H430" s="9" t="s">
        <v>961</v>
      </c>
      <c r="I430" s="6" t="s">
        <v>962</v>
      </c>
      <c r="J430" s="6" t="s">
        <v>25</v>
      </c>
      <c r="K430" s="6" t="s">
        <v>129</v>
      </c>
      <c r="L430" s="6" t="s">
        <v>60</v>
      </c>
    </row>
    <row r="431" spans="1:12">
      <c r="A431" s="3" t="s">
        <v>963</v>
      </c>
      <c r="B431" s="19">
        <v>6385</v>
      </c>
      <c r="C431" s="8">
        <v>2656</v>
      </c>
      <c r="D431" s="8">
        <v>11</v>
      </c>
      <c r="E431" s="8" t="s">
        <v>6</v>
      </c>
      <c r="F431" s="4" t="s">
        <v>24</v>
      </c>
      <c r="G431" s="4" t="s">
        <v>12</v>
      </c>
      <c r="H431" s="8" t="s">
        <v>964</v>
      </c>
      <c r="I431" s="4" t="s">
        <v>965</v>
      </c>
      <c r="J431" s="4" t="s">
        <v>11</v>
      </c>
      <c r="K431" s="4" t="s">
        <v>120</v>
      </c>
      <c r="L431" s="4" t="s">
        <v>74</v>
      </c>
    </row>
    <row r="432" spans="1:12">
      <c r="A432" s="5" t="s">
        <v>963</v>
      </c>
      <c r="B432" s="20">
        <v>6385</v>
      </c>
      <c r="C432" s="9">
        <v>2656</v>
      </c>
      <c r="D432" s="9">
        <v>11</v>
      </c>
      <c r="E432" s="9" t="s">
        <v>6</v>
      </c>
      <c r="F432" s="6" t="s">
        <v>24</v>
      </c>
      <c r="G432" s="6" t="s">
        <v>12</v>
      </c>
      <c r="H432" s="9" t="s">
        <v>966</v>
      </c>
      <c r="I432" s="6" t="s">
        <v>967</v>
      </c>
      <c r="J432" s="6" t="s">
        <v>11</v>
      </c>
      <c r="K432" s="6" t="s">
        <v>136</v>
      </c>
      <c r="L432" s="6" t="s">
        <v>69</v>
      </c>
    </row>
    <row r="433" spans="1:12">
      <c r="A433" s="5" t="s">
        <v>692</v>
      </c>
      <c r="B433" s="20">
        <v>6381</v>
      </c>
      <c r="C433" s="9">
        <v>2763</v>
      </c>
      <c r="D433" s="9">
        <v>20</v>
      </c>
      <c r="E433" s="9" t="s">
        <v>14</v>
      </c>
      <c r="F433" s="6" t="s">
        <v>40</v>
      </c>
      <c r="G433" s="6" t="s">
        <v>23</v>
      </c>
      <c r="H433" s="11">
        <v>43866</v>
      </c>
      <c r="I433" s="6" t="s">
        <v>693</v>
      </c>
      <c r="J433" s="6" t="s">
        <v>22</v>
      </c>
      <c r="K433" s="6" t="s">
        <v>223</v>
      </c>
      <c r="L433" s="6" t="s">
        <v>33</v>
      </c>
    </row>
    <row r="434" spans="1:12">
      <c r="A434" s="5" t="s">
        <v>337</v>
      </c>
      <c r="B434" s="20">
        <v>6379</v>
      </c>
      <c r="C434" s="9">
        <v>3128</v>
      </c>
      <c r="D434" s="9">
        <v>15</v>
      </c>
      <c r="E434" s="9" t="s">
        <v>6</v>
      </c>
      <c r="F434" s="6" t="s">
        <v>13</v>
      </c>
      <c r="G434" s="6" t="s">
        <v>8</v>
      </c>
      <c r="H434" s="9" t="s">
        <v>181</v>
      </c>
      <c r="I434" s="6" t="s">
        <v>338</v>
      </c>
      <c r="J434" s="6" t="s">
        <v>22</v>
      </c>
      <c r="K434" s="6" t="s">
        <v>223</v>
      </c>
      <c r="L434" s="6" t="s">
        <v>74</v>
      </c>
    </row>
    <row r="435" spans="1:12">
      <c r="A435" s="3" t="s">
        <v>968</v>
      </c>
      <c r="B435" s="19">
        <v>6355</v>
      </c>
      <c r="C435" s="8">
        <v>1335</v>
      </c>
      <c r="D435" s="8">
        <v>15</v>
      </c>
      <c r="E435" s="8" t="s">
        <v>6</v>
      </c>
      <c r="F435" s="4" t="s">
        <v>13</v>
      </c>
      <c r="G435" s="4" t="s">
        <v>16</v>
      </c>
      <c r="H435" s="8" t="s">
        <v>969</v>
      </c>
      <c r="I435" s="4" t="s">
        <v>970</v>
      </c>
      <c r="J435" s="4" t="s">
        <v>25</v>
      </c>
      <c r="K435" s="4" t="s">
        <v>111</v>
      </c>
      <c r="L435" s="4" t="s">
        <v>79</v>
      </c>
    </row>
    <row r="436" spans="1:12">
      <c r="A436" s="5" t="s">
        <v>968</v>
      </c>
      <c r="B436" s="20">
        <v>6355</v>
      </c>
      <c r="C436" s="9">
        <v>1335</v>
      </c>
      <c r="D436" s="9">
        <v>15</v>
      </c>
      <c r="E436" s="9" t="s">
        <v>6</v>
      </c>
      <c r="F436" s="6" t="s">
        <v>13</v>
      </c>
      <c r="G436" s="6" t="s">
        <v>16</v>
      </c>
      <c r="H436" s="11">
        <v>44353</v>
      </c>
      <c r="I436" s="6" t="s">
        <v>971</v>
      </c>
      <c r="J436" s="6" t="s">
        <v>25</v>
      </c>
      <c r="K436" s="6" t="s">
        <v>111</v>
      </c>
      <c r="L436" s="6" t="s">
        <v>53</v>
      </c>
    </row>
    <row r="437" spans="1:12">
      <c r="A437" s="3" t="s">
        <v>972</v>
      </c>
      <c r="B437" s="19">
        <v>6351</v>
      </c>
      <c r="C437" s="8">
        <v>986</v>
      </c>
      <c r="D437" s="8">
        <v>15</v>
      </c>
      <c r="E437" s="8" t="s">
        <v>6</v>
      </c>
      <c r="F437" s="4" t="s">
        <v>24</v>
      </c>
      <c r="G437" s="4" t="s">
        <v>23</v>
      </c>
      <c r="H437" s="8" t="s">
        <v>973</v>
      </c>
      <c r="I437" s="4" t="s">
        <v>974</v>
      </c>
      <c r="J437" s="4" t="s">
        <v>22</v>
      </c>
      <c r="K437" s="4" t="s">
        <v>179</v>
      </c>
      <c r="L437" s="4" t="s">
        <v>56</v>
      </c>
    </row>
    <row r="438" spans="1:12">
      <c r="A438" s="5" t="s">
        <v>972</v>
      </c>
      <c r="B438" s="20">
        <v>6351</v>
      </c>
      <c r="C438" s="9">
        <v>986</v>
      </c>
      <c r="D438" s="9">
        <v>15</v>
      </c>
      <c r="E438" s="9" t="s">
        <v>6</v>
      </c>
      <c r="F438" s="6" t="s">
        <v>24</v>
      </c>
      <c r="G438" s="6" t="s">
        <v>23</v>
      </c>
      <c r="H438" s="9" t="s">
        <v>975</v>
      </c>
      <c r="I438" s="6" t="s">
        <v>976</v>
      </c>
      <c r="J438" s="6" t="s">
        <v>25</v>
      </c>
      <c r="K438" s="6" t="s">
        <v>253</v>
      </c>
      <c r="L438" s="6" t="s">
        <v>72</v>
      </c>
    </row>
    <row r="439" spans="1:12">
      <c r="A439" s="3" t="s">
        <v>977</v>
      </c>
      <c r="B439" s="19">
        <v>6304</v>
      </c>
      <c r="C439" s="8">
        <v>766</v>
      </c>
      <c r="D439" s="8">
        <v>14</v>
      </c>
      <c r="E439" s="8" t="s">
        <v>10</v>
      </c>
      <c r="F439" s="4" t="s">
        <v>34</v>
      </c>
      <c r="G439" s="4" t="s">
        <v>20</v>
      </c>
      <c r="H439" s="10">
        <v>44987</v>
      </c>
      <c r="I439" s="4" t="s">
        <v>978</v>
      </c>
      <c r="J439" s="4" t="s">
        <v>22</v>
      </c>
      <c r="K439" s="4" t="s">
        <v>179</v>
      </c>
      <c r="L439" s="4" t="s">
        <v>73</v>
      </c>
    </row>
    <row r="440" spans="1:12">
      <c r="A440" s="5" t="s">
        <v>977</v>
      </c>
      <c r="B440" s="20">
        <v>6304</v>
      </c>
      <c r="C440" s="9">
        <v>766</v>
      </c>
      <c r="D440" s="9">
        <v>14</v>
      </c>
      <c r="E440" s="9" t="s">
        <v>10</v>
      </c>
      <c r="F440" s="6" t="s">
        <v>34</v>
      </c>
      <c r="G440" s="6" t="s">
        <v>20</v>
      </c>
      <c r="H440" s="9" t="s">
        <v>979</v>
      </c>
      <c r="I440" s="6" t="s">
        <v>980</v>
      </c>
      <c r="J440" s="6" t="s">
        <v>11</v>
      </c>
      <c r="K440" s="6" t="s">
        <v>120</v>
      </c>
      <c r="L440" s="6" t="s">
        <v>75</v>
      </c>
    </row>
    <row r="441" spans="1:12">
      <c r="A441" s="3" t="s">
        <v>977</v>
      </c>
      <c r="B441" s="19">
        <v>6304</v>
      </c>
      <c r="C441" s="8">
        <v>766</v>
      </c>
      <c r="D441" s="8">
        <v>14</v>
      </c>
      <c r="E441" s="8" t="s">
        <v>10</v>
      </c>
      <c r="F441" s="4" t="s">
        <v>34</v>
      </c>
      <c r="G441" s="4" t="s">
        <v>20</v>
      </c>
      <c r="H441" s="8" t="s">
        <v>981</v>
      </c>
      <c r="I441" s="4" t="s">
        <v>982</v>
      </c>
      <c r="J441" s="4" t="s">
        <v>7</v>
      </c>
      <c r="K441" s="4" t="s">
        <v>124</v>
      </c>
      <c r="L441" s="4" t="s">
        <v>94</v>
      </c>
    </row>
    <row r="442" spans="1:12">
      <c r="A442" s="3" t="s">
        <v>886</v>
      </c>
      <c r="B442" s="19">
        <v>6295</v>
      </c>
      <c r="C442" s="8">
        <v>2469</v>
      </c>
      <c r="D442" s="8">
        <v>14</v>
      </c>
      <c r="E442" s="8" t="s">
        <v>14</v>
      </c>
      <c r="F442" s="4" t="s">
        <v>38</v>
      </c>
      <c r="G442" s="4" t="s">
        <v>20</v>
      </c>
      <c r="H442" s="10">
        <v>45632</v>
      </c>
      <c r="I442" s="4" t="s">
        <v>887</v>
      </c>
      <c r="J442" s="4" t="s">
        <v>7</v>
      </c>
      <c r="K442" s="4" t="s">
        <v>124</v>
      </c>
      <c r="L442" s="4" t="s">
        <v>89</v>
      </c>
    </row>
    <row r="443" spans="1:12">
      <c r="A443" s="5" t="s">
        <v>983</v>
      </c>
      <c r="B443" s="20">
        <v>6265</v>
      </c>
      <c r="C443" s="9">
        <v>155</v>
      </c>
      <c r="D443" s="9">
        <v>8</v>
      </c>
      <c r="E443" s="9" t="s">
        <v>10</v>
      </c>
      <c r="F443" s="6" t="s">
        <v>32</v>
      </c>
      <c r="G443" s="6" t="s">
        <v>8</v>
      </c>
      <c r="H443" s="9" t="s">
        <v>984</v>
      </c>
      <c r="I443" s="6" t="s">
        <v>985</v>
      </c>
      <c r="J443" s="6" t="s">
        <v>22</v>
      </c>
      <c r="K443" s="6" t="s">
        <v>223</v>
      </c>
      <c r="L443" s="6" t="s">
        <v>67</v>
      </c>
    </row>
    <row r="444" spans="1:12">
      <c r="A444" s="3" t="s">
        <v>983</v>
      </c>
      <c r="B444" s="19">
        <v>6265</v>
      </c>
      <c r="C444" s="8">
        <v>155</v>
      </c>
      <c r="D444" s="8">
        <v>8</v>
      </c>
      <c r="E444" s="8" t="s">
        <v>10</v>
      </c>
      <c r="F444" s="4" t="s">
        <v>32</v>
      </c>
      <c r="G444" s="4" t="s">
        <v>8</v>
      </c>
      <c r="H444" s="10">
        <v>44533</v>
      </c>
      <c r="I444" s="4" t="s">
        <v>986</v>
      </c>
      <c r="J444" s="4" t="s">
        <v>22</v>
      </c>
      <c r="K444" s="4" t="s">
        <v>117</v>
      </c>
      <c r="L444" s="4" t="s">
        <v>50</v>
      </c>
    </row>
    <row r="445" spans="1:12">
      <c r="A445" s="3" t="s">
        <v>987</v>
      </c>
      <c r="B445" s="19">
        <v>6255</v>
      </c>
      <c r="C445" s="8">
        <v>437</v>
      </c>
      <c r="D445" s="8">
        <v>18</v>
      </c>
      <c r="E445" s="8" t="s">
        <v>14</v>
      </c>
      <c r="F445" s="4" t="s">
        <v>40</v>
      </c>
      <c r="G445" s="4" t="s">
        <v>8</v>
      </c>
      <c r="H445" s="10">
        <v>44267</v>
      </c>
      <c r="I445" s="4" t="s">
        <v>988</v>
      </c>
      <c r="J445" s="4" t="s">
        <v>19</v>
      </c>
      <c r="K445" s="4" t="s">
        <v>108</v>
      </c>
      <c r="L445" s="4" t="s">
        <v>59</v>
      </c>
    </row>
    <row r="446" spans="1:12">
      <c r="A446" s="3" t="s">
        <v>989</v>
      </c>
      <c r="B446" s="19">
        <v>6252</v>
      </c>
      <c r="C446" s="8">
        <v>1377</v>
      </c>
      <c r="D446" s="8">
        <v>2</v>
      </c>
      <c r="E446" s="8" t="s">
        <v>6</v>
      </c>
      <c r="F446" s="4" t="s">
        <v>24</v>
      </c>
      <c r="G446" s="4" t="s">
        <v>20</v>
      </c>
      <c r="H446" s="10">
        <v>44932</v>
      </c>
      <c r="I446" s="4" t="s">
        <v>990</v>
      </c>
      <c r="J446" s="4" t="s">
        <v>15</v>
      </c>
      <c r="K446" s="4" t="s">
        <v>132</v>
      </c>
      <c r="L446" s="4" t="s">
        <v>77</v>
      </c>
    </row>
    <row r="447" spans="1:12">
      <c r="A447" s="5" t="s">
        <v>991</v>
      </c>
      <c r="B447" s="20">
        <v>6248</v>
      </c>
      <c r="C447" s="9">
        <v>1168</v>
      </c>
      <c r="D447" s="9">
        <v>19</v>
      </c>
      <c r="E447" s="9" t="s">
        <v>10</v>
      </c>
      <c r="F447" s="6" t="s">
        <v>28</v>
      </c>
      <c r="G447" s="6" t="s">
        <v>8</v>
      </c>
      <c r="H447" s="9" t="s">
        <v>992</v>
      </c>
      <c r="I447" s="6" t="s">
        <v>993</v>
      </c>
      <c r="J447" s="6" t="s">
        <v>22</v>
      </c>
      <c r="K447" s="6" t="s">
        <v>117</v>
      </c>
      <c r="L447" s="6" t="s">
        <v>73</v>
      </c>
    </row>
    <row r="448" spans="1:12">
      <c r="A448" s="3" t="s">
        <v>991</v>
      </c>
      <c r="B448" s="19">
        <v>6248</v>
      </c>
      <c r="C448" s="8">
        <v>1168</v>
      </c>
      <c r="D448" s="8">
        <v>19</v>
      </c>
      <c r="E448" s="8" t="s">
        <v>10</v>
      </c>
      <c r="F448" s="4" t="s">
        <v>28</v>
      </c>
      <c r="G448" s="4" t="s">
        <v>8</v>
      </c>
      <c r="H448" s="10">
        <v>45449</v>
      </c>
      <c r="I448" s="4" t="s">
        <v>994</v>
      </c>
      <c r="J448" s="4" t="s">
        <v>7</v>
      </c>
      <c r="K448" s="4" t="s">
        <v>162</v>
      </c>
      <c r="L448" s="4" t="s">
        <v>89</v>
      </c>
    </row>
    <row r="449" spans="1:12">
      <c r="A449" s="5" t="s">
        <v>995</v>
      </c>
      <c r="B449" s="20">
        <v>6236</v>
      </c>
      <c r="C449" s="9">
        <v>2839</v>
      </c>
      <c r="D449" s="9">
        <v>7</v>
      </c>
      <c r="E449" s="9" t="s">
        <v>6</v>
      </c>
      <c r="F449" s="6" t="s">
        <v>24</v>
      </c>
      <c r="G449" s="6" t="s">
        <v>12</v>
      </c>
      <c r="H449" s="9" t="s">
        <v>711</v>
      </c>
      <c r="I449" s="6" t="s">
        <v>996</v>
      </c>
      <c r="J449" s="6" t="s">
        <v>15</v>
      </c>
      <c r="K449" s="6" t="s">
        <v>171</v>
      </c>
      <c r="L449" s="6" t="s">
        <v>60</v>
      </c>
    </row>
    <row r="450" spans="1:12">
      <c r="A450" s="3" t="s">
        <v>995</v>
      </c>
      <c r="B450" s="19">
        <v>6236</v>
      </c>
      <c r="C450" s="8">
        <v>2839</v>
      </c>
      <c r="D450" s="8">
        <v>7</v>
      </c>
      <c r="E450" s="8" t="s">
        <v>6</v>
      </c>
      <c r="F450" s="4" t="s">
        <v>24</v>
      </c>
      <c r="G450" s="4" t="s">
        <v>12</v>
      </c>
      <c r="H450" s="10">
        <v>44839</v>
      </c>
      <c r="I450" s="4" t="s">
        <v>997</v>
      </c>
      <c r="J450" s="4" t="s">
        <v>11</v>
      </c>
      <c r="K450" s="4" t="s">
        <v>120</v>
      </c>
      <c r="L450" s="4" t="s">
        <v>64</v>
      </c>
    </row>
    <row r="451" spans="1:12">
      <c r="A451" s="5" t="s">
        <v>411</v>
      </c>
      <c r="B451" s="20">
        <v>6223</v>
      </c>
      <c r="C451" s="9">
        <v>1478</v>
      </c>
      <c r="D451" s="9">
        <v>3</v>
      </c>
      <c r="E451" s="9" t="s">
        <v>10</v>
      </c>
      <c r="F451" s="6" t="s">
        <v>32</v>
      </c>
      <c r="G451" s="6" t="s">
        <v>16</v>
      </c>
      <c r="H451" s="11">
        <v>44783</v>
      </c>
      <c r="I451" s="6" t="s">
        <v>412</v>
      </c>
      <c r="J451" s="6" t="s">
        <v>25</v>
      </c>
      <c r="K451" s="6" t="s">
        <v>111</v>
      </c>
      <c r="L451" s="6" t="s">
        <v>69</v>
      </c>
    </row>
    <row r="452" spans="1:12">
      <c r="A452" s="3" t="s">
        <v>411</v>
      </c>
      <c r="B452" s="19">
        <v>6223</v>
      </c>
      <c r="C452" s="8">
        <v>1478</v>
      </c>
      <c r="D452" s="8">
        <v>3</v>
      </c>
      <c r="E452" s="8" t="s">
        <v>10</v>
      </c>
      <c r="F452" s="4" t="s">
        <v>32</v>
      </c>
      <c r="G452" s="4" t="s">
        <v>16</v>
      </c>
      <c r="H452" s="8" t="s">
        <v>413</v>
      </c>
      <c r="I452" s="4" t="s">
        <v>414</v>
      </c>
      <c r="J452" s="4" t="s">
        <v>22</v>
      </c>
      <c r="K452" s="4" t="s">
        <v>223</v>
      </c>
      <c r="L452" s="4" t="s">
        <v>81</v>
      </c>
    </row>
    <row r="453" spans="1:12">
      <c r="A453" s="5" t="s">
        <v>411</v>
      </c>
      <c r="B453" s="20">
        <v>6223</v>
      </c>
      <c r="C453" s="9">
        <v>1478</v>
      </c>
      <c r="D453" s="9">
        <v>3</v>
      </c>
      <c r="E453" s="9" t="s">
        <v>10</v>
      </c>
      <c r="F453" s="6" t="s">
        <v>32</v>
      </c>
      <c r="G453" s="6" t="s">
        <v>16</v>
      </c>
      <c r="H453" s="11">
        <v>44441</v>
      </c>
      <c r="I453" s="6" t="s">
        <v>415</v>
      </c>
      <c r="J453" s="6" t="s">
        <v>25</v>
      </c>
      <c r="K453" s="6" t="s">
        <v>129</v>
      </c>
      <c r="L453" s="6" t="s">
        <v>49</v>
      </c>
    </row>
    <row r="454" spans="1:12">
      <c r="A454" s="5" t="s">
        <v>559</v>
      </c>
      <c r="B454" s="20">
        <v>6218</v>
      </c>
      <c r="C454" s="9">
        <v>1125</v>
      </c>
      <c r="D454" s="9">
        <v>5</v>
      </c>
      <c r="E454" s="9" t="s">
        <v>10</v>
      </c>
      <c r="F454" s="6" t="s">
        <v>34</v>
      </c>
      <c r="G454" s="6" t="s">
        <v>16</v>
      </c>
      <c r="H454" s="9" t="s">
        <v>560</v>
      </c>
      <c r="I454" s="6" t="s">
        <v>561</v>
      </c>
      <c r="J454" s="6" t="s">
        <v>25</v>
      </c>
      <c r="K454" s="6" t="s">
        <v>253</v>
      </c>
      <c r="L454" s="6" t="s">
        <v>39</v>
      </c>
    </row>
    <row r="455" spans="1:12">
      <c r="A455" s="3" t="s">
        <v>559</v>
      </c>
      <c r="B455" s="19">
        <v>6218</v>
      </c>
      <c r="C455" s="8">
        <v>1125</v>
      </c>
      <c r="D455" s="8">
        <v>5</v>
      </c>
      <c r="E455" s="8" t="s">
        <v>10</v>
      </c>
      <c r="F455" s="4" t="s">
        <v>34</v>
      </c>
      <c r="G455" s="4" t="s">
        <v>16</v>
      </c>
      <c r="H455" s="8" t="s">
        <v>562</v>
      </c>
      <c r="I455" s="4" t="s">
        <v>563</v>
      </c>
      <c r="J455" s="4" t="s">
        <v>15</v>
      </c>
      <c r="K455" s="4" t="s">
        <v>132</v>
      </c>
      <c r="L455" s="4" t="s">
        <v>75</v>
      </c>
    </row>
    <row r="456" spans="1:12">
      <c r="A456" s="5" t="s">
        <v>559</v>
      </c>
      <c r="B456" s="20">
        <v>6218</v>
      </c>
      <c r="C456" s="9">
        <v>1125</v>
      </c>
      <c r="D456" s="9">
        <v>5</v>
      </c>
      <c r="E456" s="9" t="s">
        <v>10</v>
      </c>
      <c r="F456" s="6" t="s">
        <v>34</v>
      </c>
      <c r="G456" s="6" t="s">
        <v>16</v>
      </c>
      <c r="H456" s="9" t="s">
        <v>564</v>
      </c>
      <c r="I456" s="6" t="s">
        <v>565</v>
      </c>
      <c r="J456" s="6" t="s">
        <v>7</v>
      </c>
      <c r="K456" s="6" t="s">
        <v>124</v>
      </c>
      <c r="L456" s="6" t="s">
        <v>83</v>
      </c>
    </row>
    <row r="457" spans="1:12">
      <c r="A457" s="5" t="s">
        <v>998</v>
      </c>
      <c r="B457" s="20">
        <v>6212</v>
      </c>
      <c r="C457" s="9">
        <v>1881</v>
      </c>
      <c r="D457" s="9">
        <v>17</v>
      </c>
      <c r="E457" s="9" t="s">
        <v>6</v>
      </c>
      <c r="F457" s="6" t="s">
        <v>21</v>
      </c>
      <c r="G457" s="6" t="s">
        <v>8</v>
      </c>
      <c r="H457" s="9" t="s">
        <v>999</v>
      </c>
      <c r="I457" s="6" t="s">
        <v>1000</v>
      </c>
      <c r="J457" s="6" t="s">
        <v>15</v>
      </c>
      <c r="K457" s="6" t="s">
        <v>171</v>
      </c>
      <c r="L457" s="6" t="s">
        <v>63</v>
      </c>
    </row>
    <row r="458" spans="1:12">
      <c r="A458" s="3" t="s">
        <v>1001</v>
      </c>
      <c r="B458" s="19">
        <v>6200</v>
      </c>
      <c r="C458" s="8">
        <v>2321</v>
      </c>
      <c r="D458" s="8">
        <v>18</v>
      </c>
      <c r="E458" s="8" t="s">
        <v>10</v>
      </c>
      <c r="F458" s="4" t="s">
        <v>34</v>
      </c>
      <c r="G458" s="4" t="s">
        <v>12</v>
      </c>
      <c r="H458" s="10">
        <v>45603</v>
      </c>
      <c r="I458" s="4" t="s">
        <v>1002</v>
      </c>
      <c r="J458" s="4" t="s">
        <v>7</v>
      </c>
      <c r="K458" s="4" t="s">
        <v>205</v>
      </c>
      <c r="L458" s="4" t="s">
        <v>90</v>
      </c>
    </row>
    <row r="459" spans="1:12">
      <c r="A459" s="5" t="s">
        <v>1001</v>
      </c>
      <c r="B459" s="20">
        <v>6200</v>
      </c>
      <c r="C459" s="9">
        <v>2321</v>
      </c>
      <c r="D459" s="9">
        <v>18</v>
      </c>
      <c r="E459" s="9" t="s">
        <v>10</v>
      </c>
      <c r="F459" s="6" t="s">
        <v>34</v>
      </c>
      <c r="G459" s="6" t="s">
        <v>12</v>
      </c>
      <c r="H459" s="9" t="s">
        <v>1003</v>
      </c>
      <c r="I459" s="6" t="s">
        <v>1004</v>
      </c>
      <c r="J459" s="6" t="s">
        <v>11</v>
      </c>
      <c r="K459" s="6" t="s">
        <v>156</v>
      </c>
      <c r="L459" s="6" t="s">
        <v>92</v>
      </c>
    </row>
    <row r="460" spans="1:12">
      <c r="A460" s="5" t="s">
        <v>1005</v>
      </c>
      <c r="B460" s="20">
        <v>6195</v>
      </c>
      <c r="C460" s="9">
        <v>1556</v>
      </c>
      <c r="D460" s="9">
        <v>18</v>
      </c>
      <c r="E460" s="9" t="s">
        <v>10</v>
      </c>
      <c r="F460" s="6" t="s">
        <v>32</v>
      </c>
      <c r="G460" s="6" t="s">
        <v>20</v>
      </c>
      <c r="H460" s="11">
        <v>45659</v>
      </c>
      <c r="I460" s="6" t="s">
        <v>1006</v>
      </c>
      <c r="J460" s="6" t="s">
        <v>15</v>
      </c>
      <c r="K460" s="6" t="s">
        <v>171</v>
      </c>
      <c r="L460" s="6" t="s">
        <v>97</v>
      </c>
    </row>
    <row r="461" spans="1:12">
      <c r="A461" s="5" t="s">
        <v>536</v>
      </c>
      <c r="B461" s="20">
        <v>6187</v>
      </c>
      <c r="C461" s="9">
        <v>2344</v>
      </c>
      <c r="D461" s="9">
        <v>15</v>
      </c>
      <c r="E461" s="9" t="s">
        <v>10</v>
      </c>
      <c r="F461" s="6" t="s">
        <v>28</v>
      </c>
      <c r="G461" s="6" t="s">
        <v>20</v>
      </c>
      <c r="H461" s="9" t="s">
        <v>537</v>
      </c>
      <c r="I461" s="6" t="s">
        <v>538</v>
      </c>
      <c r="J461" s="6" t="s">
        <v>11</v>
      </c>
      <c r="K461" s="6" t="s">
        <v>120</v>
      </c>
      <c r="L461" s="6" t="s">
        <v>89</v>
      </c>
    </row>
    <row r="462" spans="1:12">
      <c r="A462" s="3" t="s">
        <v>133</v>
      </c>
      <c r="B462" s="19">
        <v>6184</v>
      </c>
      <c r="C462" s="8">
        <v>50</v>
      </c>
      <c r="D462" s="8">
        <v>14</v>
      </c>
      <c r="E462" s="8" t="s">
        <v>6</v>
      </c>
      <c r="F462" s="4" t="s">
        <v>13</v>
      </c>
      <c r="G462" s="4" t="s">
        <v>12</v>
      </c>
      <c r="H462" s="10">
        <v>44776</v>
      </c>
      <c r="I462" s="4" t="s">
        <v>134</v>
      </c>
      <c r="J462" s="4" t="s">
        <v>22</v>
      </c>
      <c r="K462" s="4" t="s">
        <v>117</v>
      </c>
      <c r="L462" s="4" t="s">
        <v>62</v>
      </c>
    </row>
    <row r="463" spans="1:12">
      <c r="A463" s="5" t="s">
        <v>133</v>
      </c>
      <c r="B463" s="20">
        <v>6184</v>
      </c>
      <c r="C463" s="9">
        <v>50</v>
      </c>
      <c r="D463" s="9">
        <v>14</v>
      </c>
      <c r="E463" s="9" t="s">
        <v>6</v>
      </c>
      <c r="F463" s="6" t="s">
        <v>13</v>
      </c>
      <c r="G463" s="6" t="s">
        <v>12</v>
      </c>
      <c r="H463" s="11">
        <v>44785</v>
      </c>
      <c r="I463" s="6" t="s">
        <v>135</v>
      </c>
      <c r="J463" s="6" t="s">
        <v>11</v>
      </c>
      <c r="K463" s="6" t="s">
        <v>136</v>
      </c>
      <c r="L463" s="6" t="s">
        <v>71</v>
      </c>
    </row>
    <row r="464" spans="1:12">
      <c r="A464" s="5" t="s">
        <v>1007</v>
      </c>
      <c r="B464" s="20">
        <v>6147</v>
      </c>
      <c r="C464" s="9">
        <v>2526</v>
      </c>
      <c r="D464" s="9">
        <v>6</v>
      </c>
      <c r="E464" s="9" t="s">
        <v>14</v>
      </c>
      <c r="F464" s="6" t="s">
        <v>44</v>
      </c>
      <c r="G464" s="6" t="s">
        <v>16</v>
      </c>
      <c r="H464" s="9" t="s">
        <v>1008</v>
      </c>
      <c r="I464" s="6" t="s">
        <v>1009</v>
      </c>
      <c r="J464" s="6" t="s">
        <v>25</v>
      </c>
      <c r="K464" s="6" t="s">
        <v>129</v>
      </c>
      <c r="L464" s="6" t="s">
        <v>74</v>
      </c>
    </row>
    <row r="465" spans="1:12">
      <c r="A465" s="3" t="s">
        <v>1010</v>
      </c>
      <c r="B465" s="19">
        <v>6145</v>
      </c>
      <c r="C465" s="8">
        <v>1414</v>
      </c>
      <c r="D465" s="8">
        <v>4</v>
      </c>
      <c r="E465" s="8" t="s">
        <v>10</v>
      </c>
      <c r="F465" s="4" t="s">
        <v>30</v>
      </c>
      <c r="G465" s="4" t="s">
        <v>8</v>
      </c>
      <c r="H465" s="8" t="s">
        <v>1011</v>
      </c>
      <c r="I465" s="4" t="s">
        <v>1012</v>
      </c>
      <c r="J465" s="4" t="s">
        <v>7</v>
      </c>
      <c r="K465" s="4" t="s">
        <v>205</v>
      </c>
      <c r="L465" s="4" t="s">
        <v>43</v>
      </c>
    </row>
    <row r="466" spans="1:12">
      <c r="A466" s="3" t="s">
        <v>493</v>
      </c>
      <c r="B466" s="19">
        <v>6139</v>
      </c>
      <c r="C466" s="8">
        <v>451</v>
      </c>
      <c r="D466" s="8">
        <v>10</v>
      </c>
      <c r="E466" s="8" t="s">
        <v>10</v>
      </c>
      <c r="F466" s="4" t="s">
        <v>34</v>
      </c>
      <c r="G466" s="4" t="s">
        <v>16</v>
      </c>
      <c r="H466" s="8" t="s">
        <v>494</v>
      </c>
      <c r="I466" s="4" t="s">
        <v>495</v>
      </c>
      <c r="J466" s="4" t="s">
        <v>11</v>
      </c>
      <c r="K466" s="4" t="s">
        <v>120</v>
      </c>
      <c r="L466" s="4" t="s">
        <v>61</v>
      </c>
    </row>
    <row r="467" spans="1:12">
      <c r="A467" s="5" t="s">
        <v>493</v>
      </c>
      <c r="B467" s="20">
        <v>6139</v>
      </c>
      <c r="C467" s="9">
        <v>451</v>
      </c>
      <c r="D467" s="9">
        <v>10</v>
      </c>
      <c r="E467" s="9" t="s">
        <v>10</v>
      </c>
      <c r="F467" s="6" t="s">
        <v>34</v>
      </c>
      <c r="G467" s="6" t="s">
        <v>16</v>
      </c>
      <c r="H467" s="11">
        <v>44320</v>
      </c>
      <c r="I467" s="6" t="s">
        <v>496</v>
      </c>
      <c r="J467" s="6" t="s">
        <v>25</v>
      </c>
      <c r="K467" s="6" t="s">
        <v>253</v>
      </c>
      <c r="L467" s="6" t="s">
        <v>51</v>
      </c>
    </row>
    <row r="468" spans="1:12">
      <c r="A468" s="5" t="s">
        <v>1013</v>
      </c>
      <c r="B468" s="20">
        <v>6129</v>
      </c>
      <c r="C468" s="9">
        <v>2976</v>
      </c>
      <c r="D468" s="9">
        <v>2</v>
      </c>
      <c r="E468" s="9" t="s">
        <v>6</v>
      </c>
      <c r="F468" s="6" t="s">
        <v>17</v>
      </c>
      <c r="G468" s="6" t="s">
        <v>20</v>
      </c>
      <c r="H468" s="9" t="s">
        <v>175</v>
      </c>
      <c r="I468" s="6" t="s">
        <v>1014</v>
      </c>
      <c r="J468" s="6" t="s">
        <v>19</v>
      </c>
      <c r="K468" s="6" t="s">
        <v>210</v>
      </c>
      <c r="L468" s="6" t="s">
        <v>97</v>
      </c>
    </row>
    <row r="469" spans="1:12">
      <c r="A469" s="5" t="s">
        <v>1015</v>
      </c>
      <c r="B469" s="20">
        <v>6123</v>
      </c>
      <c r="C469" s="9">
        <v>1686</v>
      </c>
      <c r="D469" s="9">
        <v>3</v>
      </c>
      <c r="E469" s="9" t="s">
        <v>14</v>
      </c>
      <c r="F469" s="6" t="s">
        <v>40</v>
      </c>
      <c r="G469" s="6" t="s">
        <v>12</v>
      </c>
      <c r="H469" s="11">
        <v>44717</v>
      </c>
      <c r="I469" s="6" t="s">
        <v>1016</v>
      </c>
      <c r="J469" s="6" t="s">
        <v>22</v>
      </c>
      <c r="K469" s="6" t="s">
        <v>223</v>
      </c>
      <c r="L469" s="6" t="s">
        <v>64</v>
      </c>
    </row>
    <row r="470" spans="1:12">
      <c r="A470" s="3" t="s">
        <v>536</v>
      </c>
      <c r="B470" s="19">
        <v>6113</v>
      </c>
      <c r="C470" s="8">
        <v>2508</v>
      </c>
      <c r="D470" s="8">
        <v>6</v>
      </c>
      <c r="E470" s="8" t="s">
        <v>6</v>
      </c>
      <c r="F470" s="4" t="s">
        <v>17</v>
      </c>
      <c r="G470" s="4" t="s">
        <v>23</v>
      </c>
      <c r="H470" s="8" t="s">
        <v>537</v>
      </c>
      <c r="I470" s="4" t="s">
        <v>538</v>
      </c>
      <c r="J470" s="4" t="s">
        <v>11</v>
      </c>
      <c r="K470" s="4" t="s">
        <v>120</v>
      </c>
      <c r="L470" s="4" t="s">
        <v>89</v>
      </c>
    </row>
    <row r="471" spans="1:12">
      <c r="A471" s="5" t="s">
        <v>1017</v>
      </c>
      <c r="B471" s="20">
        <v>6109</v>
      </c>
      <c r="C471" s="9">
        <v>3040</v>
      </c>
      <c r="D471" s="9">
        <v>9</v>
      </c>
      <c r="E471" s="9" t="s">
        <v>10</v>
      </c>
      <c r="F471" s="6" t="s">
        <v>30</v>
      </c>
      <c r="G471" s="6" t="s">
        <v>20</v>
      </c>
      <c r="H471" s="11">
        <v>44836</v>
      </c>
      <c r="I471" s="6" t="s">
        <v>1018</v>
      </c>
      <c r="J471" s="6" t="s">
        <v>19</v>
      </c>
      <c r="K471" s="6" t="s">
        <v>126</v>
      </c>
      <c r="L471" s="6" t="s">
        <v>61</v>
      </c>
    </row>
    <row r="472" spans="1:12">
      <c r="A472" s="3" t="s">
        <v>1017</v>
      </c>
      <c r="B472" s="19">
        <v>6109</v>
      </c>
      <c r="C472" s="8">
        <v>3040</v>
      </c>
      <c r="D472" s="8">
        <v>9</v>
      </c>
      <c r="E472" s="8" t="s">
        <v>10</v>
      </c>
      <c r="F472" s="4" t="s">
        <v>30</v>
      </c>
      <c r="G472" s="4" t="s">
        <v>20</v>
      </c>
      <c r="H472" s="10">
        <v>45056</v>
      </c>
      <c r="I472" s="4" t="s">
        <v>1019</v>
      </c>
      <c r="J472" s="4" t="s">
        <v>19</v>
      </c>
      <c r="K472" s="4" t="s">
        <v>108</v>
      </c>
      <c r="L472" s="4" t="s">
        <v>81</v>
      </c>
    </row>
    <row r="473" spans="1:12">
      <c r="A473" s="3" t="s">
        <v>547</v>
      </c>
      <c r="B473" s="19">
        <v>6105</v>
      </c>
      <c r="C473" s="8">
        <v>1447</v>
      </c>
      <c r="D473" s="8">
        <v>8</v>
      </c>
      <c r="E473" s="8" t="s">
        <v>10</v>
      </c>
      <c r="F473" s="4" t="s">
        <v>28</v>
      </c>
      <c r="G473" s="4" t="s">
        <v>12</v>
      </c>
      <c r="H473" s="10">
        <v>44873</v>
      </c>
      <c r="I473" s="4" t="s">
        <v>548</v>
      </c>
      <c r="J473" s="4" t="s">
        <v>7</v>
      </c>
      <c r="K473" s="4" t="s">
        <v>124</v>
      </c>
      <c r="L473" s="4" t="s">
        <v>67</v>
      </c>
    </row>
    <row r="474" spans="1:12">
      <c r="A474" s="5" t="s">
        <v>547</v>
      </c>
      <c r="B474" s="20">
        <v>6105</v>
      </c>
      <c r="C474" s="9">
        <v>1447</v>
      </c>
      <c r="D474" s="9">
        <v>8</v>
      </c>
      <c r="E474" s="9" t="s">
        <v>10</v>
      </c>
      <c r="F474" s="6" t="s">
        <v>28</v>
      </c>
      <c r="G474" s="6" t="s">
        <v>12</v>
      </c>
      <c r="H474" s="11">
        <v>44903</v>
      </c>
      <c r="I474" s="6" t="s">
        <v>549</v>
      </c>
      <c r="J474" s="6" t="s">
        <v>22</v>
      </c>
      <c r="K474" s="6" t="s">
        <v>179</v>
      </c>
      <c r="L474" s="6" t="s">
        <v>67</v>
      </c>
    </row>
    <row r="475" spans="1:12">
      <c r="A475" s="3" t="s">
        <v>1020</v>
      </c>
      <c r="B475" s="19">
        <v>6093</v>
      </c>
      <c r="C475" s="8">
        <v>3042</v>
      </c>
      <c r="D475" s="8">
        <v>9</v>
      </c>
      <c r="E475" s="8" t="s">
        <v>10</v>
      </c>
      <c r="F475" s="4" t="s">
        <v>28</v>
      </c>
      <c r="G475" s="4" t="s">
        <v>16</v>
      </c>
      <c r="H475" s="8" t="s">
        <v>1021</v>
      </c>
      <c r="I475" s="4" t="s">
        <v>1022</v>
      </c>
      <c r="J475" s="4" t="s">
        <v>7</v>
      </c>
      <c r="K475" s="4" t="s">
        <v>124</v>
      </c>
      <c r="L475" s="4" t="s">
        <v>53</v>
      </c>
    </row>
    <row r="476" spans="1:12">
      <c r="A476" s="5" t="s">
        <v>1020</v>
      </c>
      <c r="B476" s="20">
        <v>6093</v>
      </c>
      <c r="C476" s="9">
        <v>3042</v>
      </c>
      <c r="D476" s="9">
        <v>9</v>
      </c>
      <c r="E476" s="9" t="s">
        <v>10</v>
      </c>
      <c r="F476" s="6" t="s">
        <v>28</v>
      </c>
      <c r="G476" s="6" t="s">
        <v>16</v>
      </c>
      <c r="H476" s="11">
        <v>44199</v>
      </c>
      <c r="I476" s="6" t="s">
        <v>1023</v>
      </c>
      <c r="J476" s="6" t="s">
        <v>7</v>
      </c>
      <c r="K476" s="6" t="s">
        <v>162</v>
      </c>
      <c r="L476" s="6" t="s">
        <v>50</v>
      </c>
    </row>
    <row r="477" spans="1:12">
      <c r="A477" s="3" t="s">
        <v>1024</v>
      </c>
      <c r="B477" s="19">
        <v>6089</v>
      </c>
      <c r="C477" s="8">
        <v>139</v>
      </c>
      <c r="D477" s="8">
        <v>19</v>
      </c>
      <c r="E477" s="8" t="s">
        <v>10</v>
      </c>
      <c r="F477" s="4" t="s">
        <v>34</v>
      </c>
      <c r="G477" s="4" t="s">
        <v>16</v>
      </c>
      <c r="H477" s="8" t="s">
        <v>1025</v>
      </c>
      <c r="I477" s="4" t="s">
        <v>1026</v>
      </c>
      <c r="J477" s="4" t="s">
        <v>22</v>
      </c>
      <c r="K477" s="4" t="s">
        <v>223</v>
      </c>
      <c r="L477" s="4" t="s">
        <v>47</v>
      </c>
    </row>
    <row r="478" spans="1:12">
      <c r="A478" s="5" t="s">
        <v>1024</v>
      </c>
      <c r="B478" s="20">
        <v>6089</v>
      </c>
      <c r="C478" s="9">
        <v>139</v>
      </c>
      <c r="D478" s="9">
        <v>19</v>
      </c>
      <c r="E478" s="9" t="s">
        <v>10</v>
      </c>
      <c r="F478" s="6" t="s">
        <v>34</v>
      </c>
      <c r="G478" s="6" t="s">
        <v>16</v>
      </c>
      <c r="H478" s="9" t="s">
        <v>109</v>
      </c>
      <c r="I478" s="6" t="s">
        <v>1027</v>
      </c>
      <c r="J478" s="6" t="s">
        <v>22</v>
      </c>
      <c r="K478" s="6" t="s">
        <v>117</v>
      </c>
      <c r="L478" s="6" t="s">
        <v>63</v>
      </c>
    </row>
    <row r="479" spans="1:12">
      <c r="A479" s="3" t="s">
        <v>1024</v>
      </c>
      <c r="B479" s="19">
        <v>6089</v>
      </c>
      <c r="C479" s="8">
        <v>139</v>
      </c>
      <c r="D479" s="8">
        <v>19</v>
      </c>
      <c r="E479" s="8" t="s">
        <v>10</v>
      </c>
      <c r="F479" s="4" t="s">
        <v>34</v>
      </c>
      <c r="G479" s="4" t="s">
        <v>16</v>
      </c>
      <c r="H479" s="10">
        <v>45050</v>
      </c>
      <c r="I479" s="4" t="s">
        <v>1028</v>
      </c>
      <c r="J479" s="4" t="s">
        <v>15</v>
      </c>
      <c r="K479" s="4" t="s">
        <v>132</v>
      </c>
      <c r="L479" s="4" t="s">
        <v>75</v>
      </c>
    </row>
    <row r="480" spans="1:12">
      <c r="A480" s="5" t="s">
        <v>1029</v>
      </c>
      <c r="B480" s="20">
        <v>6087</v>
      </c>
      <c r="C480" s="9">
        <v>3043</v>
      </c>
      <c r="D480" s="9">
        <v>1</v>
      </c>
      <c r="E480" s="9" t="s">
        <v>10</v>
      </c>
      <c r="F480" s="6" t="s">
        <v>32</v>
      </c>
      <c r="G480" s="6" t="s">
        <v>8</v>
      </c>
      <c r="H480" s="11">
        <v>43959</v>
      </c>
      <c r="I480" s="6" t="s">
        <v>1030</v>
      </c>
      <c r="J480" s="6" t="s">
        <v>19</v>
      </c>
      <c r="K480" s="6" t="s">
        <v>126</v>
      </c>
      <c r="L480" s="6" t="s">
        <v>39</v>
      </c>
    </row>
    <row r="481" spans="1:12">
      <c r="A481" s="5" t="s">
        <v>1031</v>
      </c>
      <c r="B481" s="20">
        <v>6077</v>
      </c>
      <c r="C481" s="9">
        <v>2378</v>
      </c>
      <c r="D481" s="9">
        <v>18</v>
      </c>
      <c r="E481" s="9" t="s">
        <v>6</v>
      </c>
      <c r="F481" s="6" t="s">
        <v>21</v>
      </c>
      <c r="G481" s="6" t="s">
        <v>8</v>
      </c>
      <c r="H481" s="9" t="s">
        <v>160</v>
      </c>
      <c r="I481" s="6" t="s">
        <v>1032</v>
      </c>
      <c r="J481" s="6" t="s">
        <v>19</v>
      </c>
      <c r="K481" s="6" t="s">
        <v>210</v>
      </c>
      <c r="L481" s="6" t="s">
        <v>67</v>
      </c>
    </row>
    <row r="482" spans="1:12">
      <c r="A482" s="5" t="s">
        <v>1033</v>
      </c>
      <c r="B482" s="20">
        <v>6061</v>
      </c>
      <c r="C482" s="9">
        <v>2121</v>
      </c>
      <c r="D482" s="9">
        <v>19</v>
      </c>
      <c r="E482" s="9" t="s">
        <v>6</v>
      </c>
      <c r="F482" s="6" t="s">
        <v>17</v>
      </c>
      <c r="G482" s="6" t="s">
        <v>20</v>
      </c>
      <c r="H482" s="9" t="s">
        <v>421</v>
      </c>
      <c r="I482" s="6" t="s">
        <v>1034</v>
      </c>
      <c r="J482" s="6" t="s">
        <v>22</v>
      </c>
      <c r="K482" s="6" t="s">
        <v>117</v>
      </c>
      <c r="L482" s="6" t="s">
        <v>52</v>
      </c>
    </row>
    <row r="483" spans="1:12">
      <c r="A483" s="3" t="s">
        <v>1033</v>
      </c>
      <c r="B483" s="19">
        <v>6061</v>
      </c>
      <c r="C483" s="8">
        <v>2121</v>
      </c>
      <c r="D483" s="8">
        <v>19</v>
      </c>
      <c r="E483" s="8" t="s">
        <v>6</v>
      </c>
      <c r="F483" s="4" t="s">
        <v>17</v>
      </c>
      <c r="G483" s="4" t="s">
        <v>20</v>
      </c>
      <c r="H483" s="8" t="s">
        <v>1035</v>
      </c>
      <c r="I483" s="4" t="s">
        <v>1036</v>
      </c>
      <c r="J483" s="4" t="s">
        <v>7</v>
      </c>
      <c r="K483" s="4" t="s">
        <v>162</v>
      </c>
      <c r="L483" s="4" t="s">
        <v>60</v>
      </c>
    </row>
    <row r="484" spans="1:12">
      <c r="A484" s="5" t="s">
        <v>331</v>
      </c>
      <c r="B484" s="20">
        <v>6045</v>
      </c>
      <c r="C484" s="9">
        <v>1606</v>
      </c>
      <c r="D484" s="9">
        <v>4</v>
      </c>
      <c r="E484" s="9" t="s">
        <v>14</v>
      </c>
      <c r="F484" s="6" t="s">
        <v>42</v>
      </c>
      <c r="G484" s="6" t="s">
        <v>8</v>
      </c>
      <c r="H484" s="9" t="s">
        <v>332</v>
      </c>
      <c r="I484" s="6" t="s">
        <v>333</v>
      </c>
      <c r="J484" s="6" t="s">
        <v>11</v>
      </c>
      <c r="K484" s="6" t="s">
        <v>120</v>
      </c>
      <c r="L484" s="6" t="s">
        <v>83</v>
      </c>
    </row>
    <row r="485" spans="1:12">
      <c r="A485" s="3" t="s">
        <v>404</v>
      </c>
      <c r="B485" s="19">
        <v>6034</v>
      </c>
      <c r="C485" s="8">
        <v>608</v>
      </c>
      <c r="D485" s="8">
        <v>8</v>
      </c>
      <c r="E485" s="8" t="s">
        <v>6</v>
      </c>
      <c r="F485" s="4" t="s">
        <v>21</v>
      </c>
      <c r="G485" s="4" t="s">
        <v>20</v>
      </c>
      <c r="H485" s="10">
        <v>44566</v>
      </c>
      <c r="I485" s="4" t="s">
        <v>405</v>
      </c>
      <c r="J485" s="4" t="s">
        <v>25</v>
      </c>
      <c r="K485" s="4" t="s">
        <v>253</v>
      </c>
      <c r="L485" s="4" t="s">
        <v>64</v>
      </c>
    </row>
    <row r="486" spans="1:12">
      <c r="A486" s="3" t="s">
        <v>845</v>
      </c>
      <c r="B486" s="19">
        <v>6027</v>
      </c>
      <c r="C486" s="8">
        <v>1530</v>
      </c>
      <c r="D486" s="8">
        <v>2</v>
      </c>
      <c r="E486" s="8" t="s">
        <v>14</v>
      </c>
      <c r="F486" s="4" t="s">
        <v>38</v>
      </c>
      <c r="G486" s="4" t="s">
        <v>12</v>
      </c>
      <c r="H486" s="8" t="s">
        <v>225</v>
      </c>
      <c r="I486" s="4" t="s">
        <v>846</v>
      </c>
      <c r="J486" s="4" t="s">
        <v>22</v>
      </c>
      <c r="K486" s="4" t="s">
        <v>223</v>
      </c>
      <c r="L486" s="4" t="s">
        <v>71</v>
      </c>
    </row>
    <row r="487" spans="1:12">
      <c r="A487" s="3" t="s">
        <v>1037</v>
      </c>
      <c r="B487" s="19">
        <v>6017</v>
      </c>
      <c r="C487" s="8">
        <v>2230</v>
      </c>
      <c r="D487" s="8">
        <v>13</v>
      </c>
      <c r="E487" s="8" t="s">
        <v>6</v>
      </c>
      <c r="F487" s="4" t="s">
        <v>24</v>
      </c>
      <c r="G487" s="4" t="s">
        <v>16</v>
      </c>
      <c r="H487" s="10">
        <v>45024</v>
      </c>
      <c r="I487" s="4" t="s">
        <v>1038</v>
      </c>
      <c r="J487" s="4" t="s">
        <v>15</v>
      </c>
      <c r="K487" s="4" t="s">
        <v>235</v>
      </c>
      <c r="L487" s="4" t="s">
        <v>79</v>
      </c>
    </row>
    <row r="488" spans="1:12">
      <c r="A488" s="3" t="s">
        <v>1039</v>
      </c>
      <c r="B488" s="19">
        <v>6016</v>
      </c>
      <c r="C488" s="8">
        <v>431</v>
      </c>
      <c r="D488" s="8">
        <v>20</v>
      </c>
      <c r="E488" s="8" t="s">
        <v>14</v>
      </c>
      <c r="F488" s="4" t="s">
        <v>44</v>
      </c>
      <c r="G488" s="4" t="s">
        <v>23</v>
      </c>
      <c r="H488" s="8" t="s">
        <v>1040</v>
      </c>
      <c r="I488" s="4" t="s">
        <v>278</v>
      </c>
      <c r="J488" s="4" t="s">
        <v>15</v>
      </c>
      <c r="K488" s="4" t="s">
        <v>132</v>
      </c>
      <c r="L488" s="4" t="s">
        <v>43</v>
      </c>
    </row>
    <row r="489" spans="1:12">
      <c r="A489" s="5" t="s">
        <v>591</v>
      </c>
      <c r="B489" s="20">
        <v>6009</v>
      </c>
      <c r="C489" s="9">
        <v>2107</v>
      </c>
      <c r="D489" s="9">
        <v>7</v>
      </c>
      <c r="E489" s="9" t="s">
        <v>6</v>
      </c>
      <c r="F489" s="6" t="s">
        <v>21</v>
      </c>
      <c r="G489" s="6" t="s">
        <v>23</v>
      </c>
      <c r="H489" s="11">
        <v>44754</v>
      </c>
      <c r="I489" s="6" t="s">
        <v>592</v>
      </c>
      <c r="J489" s="6" t="s">
        <v>15</v>
      </c>
      <c r="K489" s="6" t="s">
        <v>132</v>
      </c>
      <c r="L489" s="6" t="s">
        <v>71</v>
      </c>
    </row>
    <row r="490" spans="1:12">
      <c r="A490" s="3" t="s">
        <v>591</v>
      </c>
      <c r="B490" s="19">
        <v>6009</v>
      </c>
      <c r="C490" s="8">
        <v>2107</v>
      </c>
      <c r="D490" s="8">
        <v>7</v>
      </c>
      <c r="E490" s="8" t="s">
        <v>6</v>
      </c>
      <c r="F490" s="4" t="s">
        <v>21</v>
      </c>
      <c r="G490" s="4" t="s">
        <v>23</v>
      </c>
      <c r="H490" s="8" t="s">
        <v>264</v>
      </c>
      <c r="I490" s="4" t="s">
        <v>593</v>
      </c>
      <c r="J490" s="4" t="s">
        <v>25</v>
      </c>
      <c r="K490" s="4" t="s">
        <v>111</v>
      </c>
      <c r="L490" s="4" t="s">
        <v>87</v>
      </c>
    </row>
    <row r="491" spans="1:12">
      <c r="A491" s="5" t="s">
        <v>1041</v>
      </c>
      <c r="B491" s="20">
        <v>6008</v>
      </c>
      <c r="C491" s="9">
        <v>2498</v>
      </c>
      <c r="D491" s="9">
        <v>17</v>
      </c>
      <c r="E491" s="9" t="s">
        <v>6</v>
      </c>
      <c r="F491" s="6" t="s">
        <v>21</v>
      </c>
      <c r="G491" s="6" t="s">
        <v>12</v>
      </c>
      <c r="H491" s="9" t="s">
        <v>1042</v>
      </c>
      <c r="I491" s="6" t="s">
        <v>1043</v>
      </c>
      <c r="J491" s="6" t="s">
        <v>11</v>
      </c>
      <c r="K491" s="6" t="s">
        <v>156</v>
      </c>
      <c r="L491" s="6" t="s">
        <v>66</v>
      </c>
    </row>
    <row r="492" spans="1:12">
      <c r="A492" s="5" t="s">
        <v>1044</v>
      </c>
      <c r="B492" s="20">
        <v>5994</v>
      </c>
      <c r="C492" s="9">
        <v>2826</v>
      </c>
      <c r="D492" s="9">
        <v>9</v>
      </c>
      <c r="E492" s="9" t="s">
        <v>10</v>
      </c>
      <c r="F492" s="6" t="s">
        <v>28</v>
      </c>
      <c r="G492" s="6" t="s">
        <v>20</v>
      </c>
      <c r="H492" s="9" t="s">
        <v>936</v>
      </c>
      <c r="I492" s="6" t="s">
        <v>1045</v>
      </c>
      <c r="J492" s="6" t="s">
        <v>7</v>
      </c>
      <c r="K492" s="6" t="s">
        <v>124</v>
      </c>
      <c r="L492" s="6" t="s">
        <v>76</v>
      </c>
    </row>
    <row r="493" spans="1:12">
      <c r="A493" s="3" t="s">
        <v>1044</v>
      </c>
      <c r="B493" s="19">
        <v>5994</v>
      </c>
      <c r="C493" s="8">
        <v>2826</v>
      </c>
      <c r="D493" s="8">
        <v>9</v>
      </c>
      <c r="E493" s="8" t="s">
        <v>10</v>
      </c>
      <c r="F493" s="4" t="s">
        <v>28</v>
      </c>
      <c r="G493" s="4" t="s">
        <v>20</v>
      </c>
      <c r="H493" s="10">
        <v>45629</v>
      </c>
      <c r="I493" s="4" t="s">
        <v>1046</v>
      </c>
      <c r="J493" s="4" t="s">
        <v>7</v>
      </c>
      <c r="K493" s="4" t="s">
        <v>205</v>
      </c>
      <c r="L493" s="4" t="s">
        <v>86</v>
      </c>
    </row>
    <row r="494" spans="1:12">
      <c r="A494" s="5" t="s">
        <v>1044</v>
      </c>
      <c r="B494" s="20">
        <v>5994</v>
      </c>
      <c r="C494" s="9">
        <v>2826</v>
      </c>
      <c r="D494" s="9">
        <v>9</v>
      </c>
      <c r="E494" s="9" t="s">
        <v>10</v>
      </c>
      <c r="F494" s="6" t="s">
        <v>28</v>
      </c>
      <c r="G494" s="6" t="s">
        <v>20</v>
      </c>
      <c r="H494" s="9" t="s">
        <v>455</v>
      </c>
      <c r="I494" s="6" t="s">
        <v>1047</v>
      </c>
      <c r="J494" s="6" t="s">
        <v>19</v>
      </c>
      <c r="K494" s="6" t="s">
        <v>210</v>
      </c>
      <c r="L494" s="6" t="s">
        <v>86</v>
      </c>
    </row>
    <row r="495" spans="1:12">
      <c r="A495" s="3" t="s">
        <v>1048</v>
      </c>
      <c r="B495" s="19">
        <v>5954</v>
      </c>
      <c r="C495" s="8">
        <v>2618</v>
      </c>
      <c r="D495" s="8">
        <v>11</v>
      </c>
      <c r="E495" s="8" t="s">
        <v>10</v>
      </c>
      <c r="F495" s="4" t="s">
        <v>34</v>
      </c>
      <c r="G495" s="4" t="s">
        <v>8</v>
      </c>
      <c r="H495" s="8" t="s">
        <v>1049</v>
      </c>
      <c r="I495" s="4" t="s">
        <v>1050</v>
      </c>
      <c r="J495" s="4" t="s">
        <v>22</v>
      </c>
      <c r="K495" s="4" t="s">
        <v>223</v>
      </c>
      <c r="L495" s="4" t="s">
        <v>86</v>
      </c>
    </row>
    <row r="496" spans="1:12">
      <c r="A496" s="3" t="s">
        <v>1051</v>
      </c>
      <c r="B496" s="19">
        <v>5954</v>
      </c>
      <c r="C496" s="8">
        <v>2640</v>
      </c>
      <c r="D496" s="8">
        <v>14</v>
      </c>
      <c r="E496" s="8" t="s">
        <v>6</v>
      </c>
      <c r="F496" s="4" t="s">
        <v>17</v>
      </c>
      <c r="G496" s="4" t="s">
        <v>12</v>
      </c>
      <c r="H496" s="8" t="s">
        <v>1052</v>
      </c>
      <c r="I496" s="4" t="s">
        <v>1053</v>
      </c>
      <c r="J496" s="4" t="s">
        <v>19</v>
      </c>
      <c r="K496" s="4" t="s">
        <v>210</v>
      </c>
      <c r="L496" s="4" t="s">
        <v>55</v>
      </c>
    </row>
    <row r="497" spans="1:12">
      <c r="A497" s="5" t="s">
        <v>1051</v>
      </c>
      <c r="B497" s="20">
        <v>5954</v>
      </c>
      <c r="C497" s="9">
        <v>2640</v>
      </c>
      <c r="D497" s="9">
        <v>14</v>
      </c>
      <c r="E497" s="9" t="s">
        <v>6</v>
      </c>
      <c r="F497" s="6" t="s">
        <v>17</v>
      </c>
      <c r="G497" s="6" t="s">
        <v>12</v>
      </c>
      <c r="H497" s="9" t="s">
        <v>1054</v>
      </c>
      <c r="I497" s="6" t="s">
        <v>1055</v>
      </c>
      <c r="J497" s="6" t="s">
        <v>25</v>
      </c>
      <c r="K497" s="6" t="s">
        <v>129</v>
      </c>
      <c r="L497" s="6" t="s">
        <v>69</v>
      </c>
    </row>
    <row r="498" spans="1:12">
      <c r="A498" s="5" t="s">
        <v>1056</v>
      </c>
      <c r="B498" s="20">
        <v>5951</v>
      </c>
      <c r="C498" s="9">
        <v>936</v>
      </c>
      <c r="D498" s="9">
        <v>6</v>
      </c>
      <c r="E498" s="9" t="s">
        <v>6</v>
      </c>
      <c r="F498" s="6" t="s">
        <v>17</v>
      </c>
      <c r="G498" s="6" t="s">
        <v>16</v>
      </c>
      <c r="H498" s="11">
        <v>45481</v>
      </c>
      <c r="I498" s="6" t="s">
        <v>1057</v>
      </c>
      <c r="J498" s="6" t="s">
        <v>25</v>
      </c>
      <c r="K498" s="6" t="s">
        <v>129</v>
      </c>
      <c r="L498" s="6" t="s">
        <v>91</v>
      </c>
    </row>
    <row r="499" spans="1:12">
      <c r="A499" s="3" t="s">
        <v>1056</v>
      </c>
      <c r="B499" s="19">
        <v>5951</v>
      </c>
      <c r="C499" s="8">
        <v>936</v>
      </c>
      <c r="D499" s="8">
        <v>6</v>
      </c>
      <c r="E499" s="8" t="s">
        <v>6</v>
      </c>
      <c r="F499" s="4" t="s">
        <v>17</v>
      </c>
      <c r="G499" s="4" t="s">
        <v>16</v>
      </c>
      <c r="H499" s="8" t="s">
        <v>1058</v>
      </c>
      <c r="I499" s="4" t="s">
        <v>1059</v>
      </c>
      <c r="J499" s="4" t="s">
        <v>22</v>
      </c>
      <c r="K499" s="4" t="s">
        <v>179</v>
      </c>
      <c r="L499" s="4" t="s">
        <v>66</v>
      </c>
    </row>
    <row r="500" spans="1:12">
      <c r="A500" s="5" t="s">
        <v>1060</v>
      </c>
      <c r="B500" s="20">
        <v>5944</v>
      </c>
      <c r="C500" s="9">
        <v>2661</v>
      </c>
      <c r="D500" s="9">
        <v>7</v>
      </c>
      <c r="E500" s="9" t="s">
        <v>6</v>
      </c>
      <c r="F500" s="6" t="s">
        <v>17</v>
      </c>
      <c r="G500" s="6" t="s">
        <v>20</v>
      </c>
      <c r="H500" s="9" t="s">
        <v>1061</v>
      </c>
      <c r="I500" s="6" t="s">
        <v>1062</v>
      </c>
      <c r="J500" s="6" t="s">
        <v>25</v>
      </c>
      <c r="K500" s="6" t="s">
        <v>111</v>
      </c>
      <c r="L500" s="6" t="s">
        <v>62</v>
      </c>
    </row>
    <row r="501" spans="1:12">
      <c r="A501" s="3" t="s">
        <v>1063</v>
      </c>
      <c r="B501" s="19">
        <v>5934</v>
      </c>
      <c r="C501" s="8">
        <v>1563</v>
      </c>
      <c r="D501" s="8">
        <v>2</v>
      </c>
      <c r="E501" s="8" t="s">
        <v>14</v>
      </c>
      <c r="F501" s="4" t="s">
        <v>40</v>
      </c>
      <c r="G501" s="4" t="s">
        <v>20</v>
      </c>
      <c r="H501" s="10">
        <v>45452</v>
      </c>
      <c r="I501" s="4" t="s">
        <v>1064</v>
      </c>
      <c r="J501" s="4" t="s">
        <v>15</v>
      </c>
      <c r="K501" s="4" t="s">
        <v>235</v>
      </c>
      <c r="L501" s="4" t="s">
        <v>92</v>
      </c>
    </row>
    <row r="502" spans="1:12">
      <c r="A502" s="3" t="s">
        <v>954</v>
      </c>
      <c r="B502" s="19">
        <v>5916</v>
      </c>
      <c r="C502" s="8">
        <v>1594</v>
      </c>
      <c r="D502" s="8">
        <v>19</v>
      </c>
      <c r="E502" s="8" t="s">
        <v>6</v>
      </c>
      <c r="F502" s="4" t="s">
        <v>24</v>
      </c>
      <c r="G502" s="4" t="s">
        <v>16</v>
      </c>
      <c r="H502" s="10">
        <v>45568</v>
      </c>
      <c r="I502" s="4" t="s">
        <v>955</v>
      </c>
      <c r="J502" s="4" t="s">
        <v>11</v>
      </c>
      <c r="K502" s="4" t="s">
        <v>120</v>
      </c>
      <c r="L502" s="4" t="s">
        <v>86</v>
      </c>
    </row>
    <row r="503" spans="1:12">
      <c r="A503" s="5" t="s">
        <v>954</v>
      </c>
      <c r="B503" s="20">
        <v>5916</v>
      </c>
      <c r="C503" s="9">
        <v>1594</v>
      </c>
      <c r="D503" s="9">
        <v>19</v>
      </c>
      <c r="E503" s="9" t="s">
        <v>6</v>
      </c>
      <c r="F503" s="6" t="s">
        <v>24</v>
      </c>
      <c r="G503" s="6" t="s">
        <v>16</v>
      </c>
      <c r="H503" s="11">
        <v>45056</v>
      </c>
      <c r="I503" s="6" t="s">
        <v>956</v>
      </c>
      <c r="J503" s="6" t="s">
        <v>11</v>
      </c>
      <c r="K503" s="6" t="s">
        <v>120</v>
      </c>
      <c r="L503" s="6" t="s">
        <v>81</v>
      </c>
    </row>
    <row r="504" spans="1:12">
      <c r="A504" s="3" t="s">
        <v>1065</v>
      </c>
      <c r="B504" s="19">
        <v>5911</v>
      </c>
      <c r="C504" s="8">
        <v>2333</v>
      </c>
      <c r="D504" s="8">
        <v>14</v>
      </c>
      <c r="E504" s="8" t="s">
        <v>10</v>
      </c>
      <c r="F504" s="4" t="s">
        <v>28</v>
      </c>
      <c r="G504" s="4" t="s">
        <v>20</v>
      </c>
      <c r="H504" s="8" t="s">
        <v>1066</v>
      </c>
      <c r="I504" s="4" t="s">
        <v>1067</v>
      </c>
      <c r="J504" s="4" t="s">
        <v>7</v>
      </c>
      <c r="K504" s="4" t="s">
        <v>162</v>
      </c>
      <c r="L504" s="4" t="s">
        <v>67</v>
      </c>
    </row>
    <row r="505" spans="1:12">
      <c r="A505" s="5" t="s">
        <v>1065</v>
      </c>
      <c r="B505" s="20">
        <v>5911</v>
      </c>
      <c r="C505" s="9">
        <v>2333</v>
      </c>
      <c r="D505" s="9">
        <v>14</v>
      </c>
      <c r="E505" s="9" t="s">
        <v>10</v>
      </c>
      <c r="F505" s="6" t="s">
        <v>28</v>
      </c>
      <c r="G505" s="6" t="s">
        <v>20</v>
      </c>
      <c r="H505" s="9" t="s">
        <v>1068</v>
      </c>
      <c r="I505" s="6" t="s">
        <v>1069</v>
      </c>
      <c r="J505" s="6" t="s">
        <v>7</v>
      </c>
      <c r="K505" s="6" t="s">
        <v>124</v>
      </c>
      <c r="L505" s="6" t="s">
        <v>94</v>
      </c>
    </row>
    <row r="506" spans="1:12">
      <c r="A506" s="5" t="s">
        <v>1070</v>
      </c>
      <c r="B506" s="20">
        <v>5900</v>
      </c>
      <c r="C506" s="9">
        <v>1738</v>
      </c>
      <c r="D506" s="9">
        <v>20</v>
      </c>
      <c r="E506" s="9" t="s">
        <v>6</v>
      </c>
      <c r="F506" s="6" t="s">
        <v>21</v>
      </c>
      <c r="G506" s="6" t="s">
        <v>23</v>
      </c>
      <c r="H506" s="9" t="s">
        <v>1071</v>
      </c>
      <c r="I506" s="6" t="s">
        <v>1072</v>
      </c>
      <c r="J506" s="6" t="s">
        <v>25</v>
      </c>
      <c r="K506" s="6" t="s">
        <v>129</v>
      </c>
      <c r="L506" s="6" t="s">
        <v>91</v>
      </c>
    </row>
    <row r="507" spans="1:12">
      <c r="A507" s="3" t="s">
        <v>1073</v>
      </c>
      <c r="B507" s="19">
        <v>5899</v>
      </c>
      <c r="C507" s="8">
        <v>2264</v>
      </c>
      <c r="D507" s="8">
        <v>6</v>
      </c>
      <c r="E507" s="8" t="s">
        <v>14</v>
      </c>
      <c r="F507" s="4" t="s">
        <v>38</v>
      </c>
      <c r="G507" s="4" t="s">
        <v>20</v>
      </c>
      <c r="H507" s="8" t="s">
        <v>1074</v>
      </c>
      <c r="I507" s="4" t="s">
        <v>1075</v>
      </c>
      <c r="J507" s="4" t="s">
        <v>19</v>
      </c>
      <c r="K507" s="4" t="s">
        <v>126</v>
      </c>
      <c r="L507" s="4" t="s">
        <v>81</v>
      </c>
    </row>
    <row r="508" spans="1:12">
      <c r="A508" s="5" t="s">
        <v>591</v>
      </c>
      <c r="B508" s="20">
        <v>5846</v>
      </c>
      <c r="C508" s="9">
        <v>586</v>
      </c>
      <c r="D508" s="9">
        <v>18</v>
      </c>
      <c r="E508" s="9" t="s">
        <v>10</v>
      </c>
      <c r="F508" s="6" t="s">
        <v>32</v>
      </c>
      <c r="G508" s="6" t="s">
        <v>23</v>
      </c>
      <c r="H508" s="11">
        <v>44754</v>
      </c>
      <c r="I508" s="6" t="s">
        <v>592</v>
      </c>
      <c r="J508" s="6" t="s">
        <v>15</v>
      </c>
      <c r="K508" s="6" t="s">
        <v>132</v>
      </c>
      <c r="L508" s="6" t="s">
        <v>71</v>
      </c>
    </row>
    <row r="509" spans="1:12">
      <c r="A509" s="3" t="s">
        <v>591</v>
      </c>
      <c r="B509" s="19">
        <v>5846</v>
      </c>
      <c r="C509" s="8">
        <v>586</v>
      </c>
      <c r="D509" s="8">
        <v>18</v>
      </c>
      <c r="E509" s="8" t="s">
        <v>10</v>
      </c>
      <c r="F509" s="4" t="s">
        <v>32</v>
      </c>
      <c r="G509" s="4" t="s">
        <v>23</v>
      </c>
      <c r="H509" s="8" t="s">
        <v>264</v>
      </c>
      <c r="I509" s="4" t="s">
        <v>593</v>
      </c>
      <c r="J509" s="4" t="s">
        <v>25</v>
      </c>
      <c r="K509" s="4" t="s">
        <v>111</v>
      </c>
      <c r="L509" s="4" t="s">
        <v>87</v>
      </c>
    </row>
    <row r="510" spans="1:12">
      <c r="A510" s="5" t="s">
        <v>788</v>
      </c>
      <c r="B510" s="20">
        <v>5832</v>
      </c>
      <c r="C510" s="9">
        <v>2588</v>
      </c>
      <c r="D510" s="9">
        <v>10</v>
      </c>
      <c r="E510" s="9" t="s">
        <v>6</v>
      </c>
      <c r="F510" s="6" t="s">
        <v>24</v>
      </c>
      <c r="G510" s="6" t="s">
        <v>8</v>
      </c>
      <c r="H510" s="11">
        <v>44867</v>
      </c>
      <c r="I510" s="6" t="s">
        <v>789</v>
      </c>
      <c r="J510" s="6" t="s">
        <v>11</v>
      </c>
      <c r="K510" s="6" t="s">
        <v>156</v>
      </c>
      <c r="L510" s="6" t="s">
        <v>61</v>
      </c>
    </row>
    <row r="511" spans="1:12">
      <c r="A511" s="3" t="s">
        <v>1076</v>
      </c>
      <c r="B511" s="19">
        <v>5831</v>
      </c>
      <c r="C511" s="8">
        <v>1574</v>
      </c>
      <c r="D511" s="8">
        <v>17</v>
      </c>
      <c r="E511" s="8" t="s">
        <v>14</v>
      </c>
      <c r="F511" s="4" t="s">
        <v>44</v>
      </c>
      <c r="G511" s="4" t="s">
        <v>16</v>
      </c>
      <c r="H511" s="8" t="s">
        <v>1077</v>
      </c>
      <c r="I511" s="4" t="s">
        <v>1078</v>
      </c>
      <c r="J511" s="4" t="s">
        <v>7</v>
      </c>
      <c r="K511" s="4" t="s">
        <v>124</v>
      </c>
      <c r="L511" s="4" t="s">
        <v>70</v>
      </c>
    </row>
    <row r="512" spans="1:12">
      <c r="A512" s="5" t="s">
        <v>1076</v>
      </c>
      <c r="B512" s="20">
        <v>5831</v>
      </c>
      <c r="C512" s="9">
        <v>1574</v>
      </c>
      <c r="D512" s="9">
        <v>17</v>
      </c>
      <c r="E512" s="9" t="s">
        <v>14</v>
      </c>
      <c r="F512" s="6" t="s">
        <v>44</v>
      </c>
      <c r="G512" s="6" t="s">
        <v>16</v>
      </c>
      <c r="H512" s="9" t="s">
        <v>943</v>
      </c>
      <c r="I512" s="6" t="s">
        <v>1079</v>
      </c>
      <c r="J512" s="6" t="s">
        <v>7</v>
      </c>
      <c r="K512" s="6" t="s">
        <v>162</v>
      </c>
      <c r="L512" s="6" t="s">
        <v>90</v>
      </c>
    </row>
    <row r="513" spans="1:12">
      <c r="A513" s="3" t="s">
        <v>1076</v>
      </c>
      <c r="B513" s="19">
        <v>5831</v>
      </c>
      <c r="C513" s="8">
        <v>1574</v>
      </c>
      <c r="D513" s="8">
        <v>17</v>
      </c>
      <c r="E513" s="8" t="s">
        <v>14</v>
      </c>
      <c r="F513" s="4" t="s">
        <v>44</v>
      </c>
      <c r="G513" s="4" t="s">
        <v>16</v>
      </c>
      <c r="H513" s="8" t="s">
        <v>778</v>
      </c>
      <c r="I513" s="4" t="s">
        <v>1080</v>
      </c>
      <c r="J513" s="4" t="s">
        <v>11</v>
      </c>
      <c r="K513" s="4" t="s">
        <v>156</v>
      </c>
      <c r="L513" s="4" t="s">
        <v>78</v>
      </c>
    </row>
    <row r="514" spans="1:12">
      <c r="A514" s="5" t="s">
        <v>1081</v>
      </c>
      <c r="B514" s="20">
        <v>5768</v>
      </c>
      <c r="C514" s="9">
        <v>2059</v>
      </c>
      <c r="D514" s="9">
        <v>14</v>
      </c>
      <c r="E514" s="9" t="s">
        <v>10</v>
      </c>
      <c r="F514" s="6" t="s">
        <v>34</v>
      </c>
      <c r="G514" s="6" t="s">
        <v>23</v>
      </c>
      <c r="H514" s="9" t="s">
        <v>1082</v>
      </c>
      <c r="I514" s="6" t="s">
        <v>1083</v>
      </c>
      <c r="J514" s="6" t="s">
        <v>19</v>
      </c>
      <c r="K514" s="6" t="s">
        <v>126</v>
      </c>
      <c r="L514" s="6" t="s">
        <v>45</v>
      </c>
    </row>
    <row r="515" spans="1:12">
      <c r="A515" s="3" t="s">
        <v>1084</v>
      </c>
      <c r="B515" s="19">
        <v>5730</v>
      </c>
      <c r="C515" s="8">
        <v>482</v>
      </c>
      <c r="D515" s="8">
        <v>6</v>
      </c>
      <c r="E515" s="8" t="s">
        <v>6</v>
      </c>
      <c r="F515" s="4" t="s">
        <v>17</v>
      </c>
      <c r="G515" s="4" t="s">
        <v>8</v>
      </c>
      <c r="H515" s="8" t="s">
        <v>1071</v>
      </c>
      <c r="I515" s="4" t="s">
        <v>1085</v>
      </c>
      <c r="J515" s="4" t="s">
        <v>11</v>
      </c>
      <c r="K515" s="4" t="s">
        <v>136</v>
      </c>
      <c r="L515" s="4" t="s">
        <v>91</v>
      </c>
    </row>
    <row r="516" spans="1:12">
      <c r="A516" s="3" t="s">
        <v>1086</v>
      </c>
      <c r="B516" s="19">
        <v>5714</v>
      </c>
      <c r="C516" s="8">
        <v>1438</v>
      </c>
      <c r="D516" s="8">
        <v>6</v>
      </c>
      <c r="E516" s="8" t="s">
        <v>6</v>
      </c>
      <c r="F516" s="4" t="s">
        <v>13</v>
      </c>
      <c r="G516" s="4" t="s">
        <v>12</v>
      </c>
      <c r="H516" s="8" t="s">
        <v>1087</v>
      </c>
      <c r="I516" s="4" t="s">
        <v>1088</v>
      </c>
      <c r="J516" s="4" t="s">
        <v>15</v>
      </c>
      <c r="K516" s="4" t="s">
        <v>132</v>
      </c>
      <c r="L516" s="4" t="s">
        <v>91</v>
      </c>
    </row>
    <row r="517" spans="1:12">
      <c r="A517" s="5" t="s">
        <v>352</v>
      </c>
      <c r="B517" s="20">
        <v>5704</v>
      </c>
      <c r="C517" s="9">
        <v>714</v>
      </c>
      <c r="D517" s="9">
        <v>13</v>
      </c>
      <c r="E517" s="9" t="s">
        <v>6</v>
      </c>
      <c r="F517" s="6" t="s">
        <v>17</v>
      </c>
      <c r="G517" s="6" t="s">
        <v>20</v>
      </c>
      <c r="H517" s="11">
        <v>44622</v>
      </c>
      <c r="I517" s="6" t="s">
        <v>353</v>
      </c>
      <c r="J517" s="6" t="s">
        <v>25</v>
      </c>
      <c r="K517" s="6" t="s">
        <v>111</v>
      </c>
      <c r="L517" s="6" t="s">
        <v>61</v>
      </c>
    </row>
    <row r="518" spans="1:12">
      <c r="A518" s="3" t="s">
        <v>352</v>
      </c>
      <c r="B518" s="19">
        <v>5704</v>
      </c>
      <c r="C518" s="8">
        <v>714</v>
      </c>
      <c r="D518" s="8">
        <v>13</v>
      </c>
      <c r="E518" s="8" t="s">
        <v>6</v>
      </c>
      <c r="F518" s="4" t="s">
        <v>17</v>
      </c>
      <c r="G518" s="4" t="s">
        <v>20</v>
      </c>
      <c r="H518" s="10">
        <v>44542</v>
      </c>
      <c r="I518" s="4" t="s">
        <v>354</v>
      </c>
      <c r="J518" s="4" t="s">
        <v>7</v>
      </c>
      <c r="K518" s="4" t="s">
        <v>162</v>
      </c>
      <c r="L518" s="4" t="s">
        <v>59</v>
      </c>
    </row>
    <row r="519" spans="1:12">
      <c r="A519" s="5" t="s">
        <v>1089</v>
      </c>
      <c r="B519" s="20">
        <v>5694</v>
      </c>
      <c r="C519" s="9">
        <v>1134</v>
      </c>
      <c r="D519" s="9">
        <v>5</v>
      </c>
      <c r="E519" s="9" t="s">
        <v>10</v>
      </c>
      <c r="F519" s="6" t="s">
        <v>30</v>
      </c>
      <c r="G519" s="6" t="s">
        <v>20</v>
      </c>
      <c r="H519" s="9" t="s">
        <v>1090</v>
      </c>
      <c r="I519" s="6" t="s">
        <v>1091</v>
      </c>
      <c r="J519" s="6" t="s">
        <v>19</v>
      </c>
      <c r="K519" s="6" t="s">
        <v>210</v>
      </c>
      <c r="L519" s="6" t="s">
        <v>86</v>
      </c>
    </row>
    <row r="520" spans="1:12">
      <c r="A520" s="3" t="s">
        <v>1089</v>
      </c>
      <c r="B520" s="19">
        <v>5694</v>
      </c>
      <c r="C520" s="8">
        <v>1134</v>
      </c>
      <c r="D520" s="8">
        <v>5</v>
      </c>
      <c r="E520" s="8" t="s">
        <v>10</v>
      </c>
      <c r="F520" s="4" t="s">
        <v>30</v>
      </c>
      <c r="G520" s="4" t="s">
        <v>20</v>
      </c>
      <c r="H520" s="10">
        <v>44115</v>
      </c>
      <c r="I520" s="4" t="s">
        <v>1092</v>
      </c>
      <c r="J520" s="4" t="s">
        <v>15</v>
      </c>
      <c r="K520" s="4" t="s">
        <v>171</v>
      </c>
      <c r="L520" s="4" t="s">
        <v>45</v>
      </c>
    </row>
    <row r="521" spans="1:12">
      <c r="A521" s="3" t="s">
        <v>1093</v>
      </c>
      <c r="B521" s="19">
        <v>5680</v>
      </c>
      <c r="C521" s="8">
        <v>2159</v>
      </c>
      <c r="D521" s="8">
        <v>19</v>
      </c>
      <c r="E521" s="8" t="s">
        <v>10</v>
      </c>
      <c r="F521" s="4" t="s">
        <v>34</v>
      </c>
      <c r="G521" s="4" t="s">
        <v>23</v>
      </c>
      <c r="H521" s="8" t="s">
        <v>1094</v>
      </c>
      <c r="I521" s="4" t="s">
        <v>1095</v>
      </c>
      <c r="J521" s="4" t="s">
        <v>25</v>
      </c>
      <c r="K521" s="4" t="s">
        <v>111</v>
      </c>
      <c r="L521" s="4" t="s">
        <v>80</v>
      </c>
    </row>
    <row r="522" spans="1:12">
      <c r="A522" s="5" t="s">
        <v>1096</v>
      </c>
      <c r="B522" s="20">
        <v>5666</v>
      </c>
      <c r="C522" s="9">
        <v>2733</v>
      </c>
      <c r="D522" s="9">
        <v>17</v>
      </c>
      <c r="E522" s="9" t="s">
        <v>6</v>
      </c>
      <c r="F522" s="6" t="s">
        <v>13</v>
      </c>
      <c r="G522" s="6" t="s">
        <v>12</v>
      </c>
      <c r="H522" s="9" t="s">
        <v>607</v>
      </c>
      <c r="I522" s="6" t="s">
        <v>1097</v>
      </c>
      <c r="J522" s="6" t="s">
        <v>11</v>
      </c>
      <c r="K522" s="6" t="s">
        <v>136</v>
      </c>
      <c r="L522" s="6" t="s">
        <v>96</v>
      </c>
    </row>
    <row r="523" spans="1:12">
      <c r="A523" s="3" t="s">
        <v>928</v>
      </c>
      <c r="B523" s="19">
        <v>5635</v>
      </c>
      <c r="C523" s="8">
        <v>318</v>
      </c>
      <c r="D523" s="8">
        <v>17</v>
      </c>
      <c r="E523" s="8" t="s">
        <v>14</v>
      </c>
      <c r="F523" s="4" t="s">
        <v>38</v>
      </c>
      <c r="G523" s="4" t="s">
        <v>23</v>
      </c>
      <c r="H523" s="8" t="s">
        <v>929</v>
      </c>
      <c r="I523" s="4" t="s">
        <v>930</v>
      </c>
      <c r="J523" s="4" t="s">
        <v>7</v>
      </c>
      <c r="K523" s="4" t="s">
        <v>162</v>
      </c>
      <c r="L523" s="4" t="s">
        <v>41</v>
      </c>
    </row>
    <row r="524" spans="1:12">
      <c r="A524" s="5" t="s">
        <v>1098</v>
      </c>
      <c r="B524" s="20">
        <v>5632</v>
      </c>
      <c r="C524" s="9">
        <v>2358</v>
      </c>
      <c r="D524" s="9">
        <v>20</v>
      </c>
      <c r="E524" s="9" t="s">
        <v>10</v>
      </c>
      <c r="F524" s="6" t="s">
        <v>32</v>
      </c>
      <c r="G524" s="6" t="s">
        <v>12</v>
      </c>
      <c r="H524" s="11">
        <v>44260</v>
      </c>
      <c r="I524" s="6" t="s">
        <v>1099</v>
      </c>
      <c r="J524" s="6" t="s">
        <v>7</v>
      </c>
      <c r="K524" s="6" t="s">
        <v>205</v>
      </c>
      <c r="L524" s="6" t="s">
        <v>52</v>
      </c>
    </row>
    <row r="525" spans="1:12">
      <c r="A525" s="3" t="s">
        <v>1098</v>
      </c>
      <c r="B525" s="19">
        <v>5632</v>
      </c>
      <c r="C525" s="8">
        <v>2358</v>
      </c>
      <c r="D525" s="8">
        <v>20</v>
      </c>
      <c r="E525" s="8" t="s">
        <v>10</v>
      </c>
      <c r="F525" s="4" t="s">
        <v>32</v>
      </c>
      <c r="G525" s="4" t="s">
        <v>12</v>
      </c>
      <c r="H525" s="10">
        <v>45598</v>
      </c>
      <c r="I525" s="4" t="s">
        <v>1100</v>
      </c>
      <c r="J525" s="4" t="s">
        <v>11</v>
      </c>
      <c r="K525" s="4" t="s">
        <v>156</v>
      </c>
      <c r="L525" s="4" t="s">
        <v>85</v>
      </c>
    </row>
    <row r="526" spans="1:12">
      <c r="A526" s="5" t="s">
        <v>1098</v>
      </c>
      <c r="B526" s="20">
        <v>5632</v>
      </c>
      <c r="C526" s="9">
        <v>2358</v>
      </c>
      <c r="D526" s="9">
        <v>20</v>
      </c>
      <c r="E526" s="9" t="s">
        <v>10</v>
      </c>
      <c r="F526" s="6" t="s">
        <v>32</v>
      </c>
      <c r="G526" s="6" t="s">
        <v>12</v>
      </c>
      <c r="H526" s="11">
        <v>45749</v>
      </c>
      <c r="I526" s="6" t="s">
        <v>1101</v>
      </c>
      <c r="J526" s="6" t="s">
        <v>22</v>
      </c>
      <c r="K526" s="6" t="s">
        <v>117</v>
      </c>
      <c r="L526" s="6" t="s">
        <v>97</v>
      </c>
    </row>
    <row r="527" spans="1:12">
      <c r="A527" s="3" t="s">
        <v>687</v>
      </c>
      <c r="B527" s="19">
        <v>5591</v>
      </c>
      <c r="C527" s="8">
        <v>1696</v>
      </c>
      <c r="D527" s="8">
        <v>3</v>
      </c>
      <c r="E527" s="8" t="s">
        <v>14</v>
      </c>
      <c r="F527" s="4" t="s">
        <v>44</v>
      </c>
      <c r="G527" s="4" t="s">
        <v>8</v>
      </c>
      <c r="H527" s="10">
        <v>45451</v>
      </c>
      <c r="I527" s="4" t="s">
        <v>688</v>
      </c>
      <c r="J527" s="4" t="s">
        <v>7</v>
      </c>
      <c r="K527" s="4" t="s">
        <v>124</v>
      </c>
      <c r="L527" s="4" t="s">
        <v>91</v>
      </c>
    </row>
    <row r="528" spans="1:12">
      <c r="A528" s="3" t="s">
        <v>1102</v>
      </c>
      <c r="B528" s="19">
        <v>5578</v>
      </c>
      <c r="C528" s="8">
        <v>277</v>
      </c>
      <c r="D528" s="8">
        <v>16</v>
      </c>
      <c r="E528" s="8" t="s">
        <v>10</v>
      </c>
      <c r="F528" s="4" t="s">
        <v>34</v>
      </c>
      <c r="G528" s="4" t="s">
        <v>8</v>
      </c>
      <c r="H528" s="8" t="s">
        <v>463</v>
      </c>
      <c r="I528" s="4" t="s">
        <v>1103</v>
      </c>
      <c r="J528" s="4" t="s">
        <v>11</v>
      </c>
      <c r="K528" s="4" t="s">
        <v>156</v>
      </c>
      <c r="L528" s="4" t="s">
        <v>55</v>
      </c>
    </row>
    <row r="529" spans="1:12">
      <c r="A529" s="5" t="s">
        <v>1102</v>
      </c>
      <c r="B529" s="20">
        <v>5578</v>
      </c>
      <c r="C529" s="9">
        <v>277</v>
      </c>
      <c r="D529" s="9">
        <v>16</v>
      </c>
      <c r="E529" s="9" t="s">
        <v>10</v>
      </c>
      <c r="F529" s="6" t="s">
        <v>34</v>
      </c>
      <c r="G529" s="6" t="s">
        <v>8</v>
      </c>
      <c r="H529" s="9" t="s">
        <v>313</v>
      </c>
      <c r="I529" s="6" t="s">
        <v>1104</v>
      </c>
      <c r="J529" s="6" t="s">
        <v>22</v>
      </c>
      <c r="K529" s="6" t="s">
        <v>179</v>
      </c>
      <c r="L529" s="6" t="s">
        <v>64</v>
      </c>
    </row>
    <row r="530" spans="1:12">
      <c r="A530" s="3" t="s">
        <v>1105</v>
      </c>
      <c r="B530" s="19">
        <v>5564</v>
      </c>
      <c r="C530" s="8">
        <v>175</v>
      </c>
      <c r="D530" s="8">
        <v>11</v>
      </c>
      <c r="E530" s="8" t="s">
        <v>6</v>
      </c>
      <c r="F530" s="4" t="s">
        <v>17</v>
      </c>
      <c r="G530" s="4" t="s">
        <v>8</v>
      </c>
      <c r="H530" s="8" t="s">
        <v>1106</v>
      </c>
      <c r="I530" s="4" t="s">
        <v>1107</v>
      </c>
      <c r="J530" s="4" t="s">
        <v>15</v>
      </c>
      <c r="K530" s="4" t="s">
        <v>132</v>
      </c>
      <c r="L530" s="4" t="s">
        <v>72</v>
      </c>
    </row>
    <row r="531" spans="1:12">
      <c r="A531" s="5" t="s">
        <v>1105</v>
      </c>
      <c r="B531" s="20">
        <v>5564</v>
      </c>
      <c r="C531" s="9">
        <v>175</v>
      </c>
      <c r="D531" s="9">
        <v>11</v>
      </c>
      <c r="E531" s="9" t="s">
        <v>6</v>
      </c>
      <c r="F531" s="6" t="s">
        <v>17</v>
      </c>
      <c r="G531" s="6" t="s">
        <v>8</v>
      </c>
      <c r="H531" s="11">
        <v>44899</v>
      </c>
      <c r="I531" s="6" t="s">
        <v>1108</v>
      </c>
      <c r="J531" s="6" t="s">
        <v>25</v>
      </c>
      <c r="K531" s="6" t="s">
        <v>253</v>
      </c>
      <c r="L531" s="6" t="s">
        <v>63</v>
      </c>
    </row>
    <row r="532" spans="1:12">
      <c r="A532" s="3" t="s">
        <v>1105</v>
      </c>
      <c r="B532" s="19">
        <v>5564</v>
      </c>
      <c r="C532" s="8">
        <v>175</v>
      </c>
      <c r="D532" s="8">
        <v>11</v>
      </c>
      <c r="E532" s="8" t="s">
        <v>6</v>
      </c>
      <c r="F532" s="4" t="s">
        <v>17</v>
      </c>
      <c r="G532" s="4" t="s">
        <v>8</v>
      </c>
      <c r="H532" s="8" t="s">
        <v>1109</v>
      </c>
      <c r="I532" s="4" t="s">
        <v>1110</v>
      </c>
      <c r="J532" s="4" t="s">
        <v>11</v>
      </c>
      <c r="K532" s="4" t="s">
        <v>156</v>
      </c>
      <c r="L532" s="4" t="s">
        <v>83</v>
      </c>
    </row>
    <row r="533" spans="1:12">
      <c r="A533" s="5" t="s">
        <v>1111</v>
      </c>
      <c r="B533" s="20">
        <v>5557</v>
      </c>
      <c r="C533" s="9">
        <v>2114</v>
      </c>
      <c r="D533" s="9">
        <v>17</v>
      </c>
      <c r="E533" s="9" t="s">
        <v>6</v>
      </c>
      <c r="F533" s="6" t="s">
        <v>17</v>
      </c>
      <c r="G533" s="6" t="s">
        <v>20</v>
      </c>
      <c r="H533" s="9" t="s">
        <v>1112</v>
      </c>
      <c r="I533" s="6" t="s">
        <v>1113</v>
      </c>
      <c r="J533" s="6" t="s">
        <v>22</v>
      </c>
      <c r="K533" s="6" t="s">
        <v>117</v>
      </c>
      <c r="L533" s="6" t="s">
        <v>52</v>
      </c>
    </row>
    <row r="534" spans="1:12">
      <c r="A534" s="3" t="s">
        <v>1114</v>
      </c>
      <c r="B534" s="19">
        <v>5518</v>
      </c>
      <c r="C534" s="8">
        <v>867</v>
      </c>
      <c r="D534" s="8">
        <v>7</v>
      </c>
      <c r="E534" s="8" t="s">
        <v>10</v>
      </c>
      <c r="F534" s="4" t="s">
        <v>32</v>
      </c>
      <c r="G534" s="4" t="s">
        <v>23</v>
      </c>
      <c r="H534" s="8" t="s">
        <v>1115</v>
      </c>
      <c r="I534" s="4" t="s">
        <v>1116</v>
      </c>
      <c r="J534" s="4" t="s">
        <v>25</v>
      </c>
      <c r="K534" s="4" t="s">
        <v>253</v>
      </c>
      <c r="L534" s="4" t="s">
        <v>71</v>
      </c>
    </row>
    <row r="535" spans="1:12">
      <c r="A535" s="5" t="s">
        <v>137</v>
      </c>
      <c r="B535" s="20">
        <v>5470</v>
      </c>
      <c r="C535" s="9">
        <v>292</v>
      </c>
      <c r="D535" s="9">
        <v>7</v>
      </c>
      <c r="E535" s="9" t="s">
        <v>14</v>
      </c>
      <c r="F535" s="6" t="s">
        <v>44</v>
      </c>
      <c r="G535" s="6" t="s">
        <v>16</v>
      </c>
      <c r="H535" s="9" t="s">
        <v>138</v>
      </c>
      <c r="I535" s="6" t="s">
        <v>139</v>
      </c>
      <c r="J535" s="6" t="s">
        <v>19</v>
      </c>
      <c r="K535" s="6" t="s">
        <v>126</v>
      </c>
      <c r="L535" s="6" t="s">
        <v>65</v>
      </c>
    </row>
    <row r="536" spans="1:12">
      <c r="A536" s="3" t="s">
        <v>137</v>
      </c>
      <c r="B536" s="19">
        <v>5470</v>
      </c>
      <c r="C536" s="8">
        <v>292</v>
      </c>
      <c r="D536" s="8">
        <v>7</v>
      </c>
      <c r="E536" s="8" t="s">
        <v>14</v>
      </c>
      <c r="F536" s="4" t="s">
        <v>44</v>
      </c>
      <c r="G536" s="4" t="s">
        <v>16</v>
      </c>
      <c r="H536" s="10">
        <v>45510</v>
      </c>
      <c r="I536" s="4" t="s">
        <v>140</v>
      </c>
      <c r="J536" s="4" t="s">
        <v>19</v>
      </c>
      <c r="K536" s="4" t="s">
        <v>108</v>
      </c>
      <c r="L536" s="4" t="s">
        <v>89</v>
      </c>
    </row>
    <row r="537" spans="1:12">
      <c r="A537" s="3" t="s">
        <v>1117</v>
      </c>
      <c r="B537" s="19">
        <v>5462</v>
      </c>
      <c r="C537" s="8">
        <v>673</v>
      </c>
      <c r="D537" s="8">
        <v>12</v>
      </c>
      <c r="E537" s="8" t="s">
        <v>6</v>
      </c>
      <c r="F537" s="4" t="s">
        <v>24</v>
      </c>
      <c r="G537" s="4" t="s">
        <v>16</v>
      </c>
      <c r="H537" s="10">
        <v>44631</v>
      </c>
      <c r="I537" s="4" t="s">
        <v>1118</v>
      </c>
      <c r="J537" s="4" t="s">
        <v>25</v>
      </c>
      <c r="K537" s="4" t="s">
        <v>111</v>
      </c>
      <c r="L537" s="4" t="s">
        <v>70</v>
      </c>
    </row>
    <row r="538" spans="1:12">
      <c r="A538" s="5" t="s">
        <v>1119</v>
      </c>
      <c r="B538" s="20">
        <v>5461</v>
      </c>
      <c r="C538" s="9">
        <v>1214</v>
      </c>
      <c r="D538" s="9">
        <v>7</v>
      </c>
      <c r="E538" s="9" t="s">
        <v>10</v>
      </c>
      <c r="F538" s="6" t="s">
        <v>32</v>
      </c>
      <c r="G538" s="6" t="s">
        <v>12</v>
      </c>
      <c r="H538" s="11">
        <v>44018</v>
      </c>
      <c r="I538" s="6" t="s">
        <v>1120</v>
      </c>
      <c r="J538" s="6" t="s">
        <v>19</v>
      </c>
      <c r="K538" s="6" t="s">
        <v>108</v>
      </c>
      <c r="L538" s="6" t="s">
        <v>35</v>
      </c>
    </row>
    <row r="539" spans="1:12">
      <c r="A539" s="3" t="s">
        <v>1121</v>
      </c>
      <c r="B539" s="19">
        <v>5460</v>
      </c>
      <c r="C539" s="8">
        <v>2088</v>
      </c>
      <c r="D539" s="8">
        <v>14</v>
      </c>
      <c r="E539" s="8" t="s">
        <v>10</v>
      </c>
      <c r="F539" s="4" t="s">
        <v>34</v>
      </c>
      <c r="G539" s="4" t="s">
        <v>16</v>
      </c>
      <c r="H539" s="8" t="s">
        <v>1122</v>
      </c>
      <c r="I539" s="4" t="s">
        <v>1123</v>
      </c>
      <c r="J539" s="4" t="s">
        <v>19</v>
      </c>
      <c r="K539" s="4" t="s">
        <v>126</v>
      </c>
      <c r="L539" s="4" t="s">
        <v>66</v>
      </c>
    </row>
    <row r="540" spans="1:12">
      <c r="A540" s="5" t="s">
        <v>1121</v>
      </c>
      <c r="B540" s="20">
        <v>5460</v>
      </c>
      <c r="C540" s="9">
        <v>2088</v>
      </c>
      <c r="D540" s="9">
        <v>14</v>
      </c>
      <c r="E540" s="9" t="s">
        <v>10</v>
      </c>
      <c r="F540" s="6" t="s">
        <v>34</v>
      </c>
      <c r="G540" s="6" t="s">
        <v>16</v>
      </c>
      <c r="H540" s="9" t="s">
        <v>1124</v>
      </c>
      <c r="I540" s="6" t="s">
        <v>1125</v>
      </c>
      <c r="J540" s="6" t="s">
        <v>22</v>
      </c>
      <c r="K540" s="6" t="s">
        <v>223</v>
      </c>
      <c r="L540" s="6" t="s">
        <v>31</v>
      </c>
    </row>
    <row r="541" spans="1:12">
      <c r="A541" s="5" t="s">
        <v>1126</v>
      </c>
      <c r="B541" s="20">
        <v>5457</v>
      </c>
      <c r="C541" s="9">
        <v>1765</v>
      </c>
      <c r="D541" s="9">
        <v>7</v>
      </c>
      <c r="E541" s="9" t="s">
        <v>6</v>
      </c>
      <c r="F541" s="6" t="s">
        <v>24</v>
      </c>
      <c r="G541" s="6" t="s">
        <v>20</v>
      </c>
      <c r="H541" s="9" t="s">
        <v>1127</v>
      </c>
      <c r="I541" s="6" t="s">
        <v>1128</v>
      </c>
      <c r="J541" s="6" t="s">
        <v>25</v>
      </c>
      <c r="K541" s="6" t="s">
        <v>129</v>
      </c>
      <c r="L541" s="6" t="s">
        <v>93</v>
      </c>
    </row>
    <row r="542" spans="1:12">
      <c r="A542" s="5" t="s">
        <v>1129</v>
      </c>
      <c r="B542" s="20">
        <v>5449</v>
      </c>
      <c r="C542" s="9">
        <v>2389</v>
      </c>
      <c r="D542" s="9">
        <v>2</v>
      </c>
      <c r="E542" s="9" t="s">
        <v>6</v>
      </c>
      <c r="F542" s="6" t="s">
        <v>21</v>
      </c>
      <c r="G542" s="6" t="s">
        <v>23</v>
      </c>
      <c r="H542" s="11">
        <v>44722</v>
      </c>
      <c r="I542" s="6" t="s">
        <v>1130</v>
      </c>
      <c r="J542" s="6" t="s">
        <v>11</v>
      </c>
      <c r="K542" s="6" t="s">
        <v>156</v>
      </c>
      <c r="L542" s="6" t="s">
        <v>69</v>
      </c>
    </row>
    <row r="543" spans="1:12">
      <c r="A543" s="5" t="s">
        <v>1131</v>
      </c>
      <c r="B543" s="20">
        <v>5448</v>
      </c>
      <c r="C543" s="9">
        <v>2204</v>
      </c>
      <c r="D543" s="9">
        <v>5</v>
      </c>
      <c r="E543" s="9" t="s">
        <v>10</v>
      </c>
      <c r="F543" s="6" t="s">
        <v>32</v>
      </c>
      <c r="G543" s="6" t="s">
        <v>8</v>
      </c>
      <c r="H543" s="11">
        <v>44812</v>
      </c>
      <c r="I543" s="6" t="s">
        <v>1132</v>
      </c>
      <c r="J543" s="6" t="s">
        <v>19</v>
      </c>
      <c r="K543" s="6" t="s">
        <v>210</v>
      </c>
      <c r="L543" s="6" t="s">
        <v>67</v>
      </c>
    </row>
    <row r="544" spans="1:12">
      <c r="A544" s="3" t="s">
        <v>790</v>
      </c>
      <c r="B544" s="19">
        <v>5442</v>
      </c>
      <c r="C544" s="8">
        <v>1610</v>
      </c>
      <c r="D544" s="8">
        <v>1</v>
      </c>
      <c r="E544" s="8" t="s">
        <v>6</v>
      </c>
      <c r="F544" s="4" t="s">
        <v>21</v>
      </c>
      <c r="G544" s="4" t="s">
        <v>20</v>
      </c>
      <c r="H544" s="10">
        <v>44328</v>
      </c>
      <c r="I544" s="4" t="s">
        <v>791</v>
      </c>
      <c r="J544" s="4" t="s">
        <v>11</v>
      </c>
      <c r="K544" s="4" t="s">
        <v>120</v>
      </c>
      <c r="L544" s="4" t="s">
        <v>59</v>
      </c>
    </row>
    <row r="545" spans="1:12">
      <c r="A545" s="5" t="s">
        <v>1133</v>
      </c>
      <c r="B545" s="20">
        <v>5427</v>
      </c>
      <c r="C545" s="9">
        <v>728</v>
      </c>
      <c r="D545" s="9">
        <v>3</v>
      </c>
      <c r="E545" s="9" t="s">
        <v>6</v>
      </c>
      <c r="F545" s="6" t="s">
        <v>21</v>
      </c>
      <c r="G545" s="6" t="s">
        <v>23</v>
      </c>
      <c r="H545" s="11">
        <v>45172</v>
      </c>
      <c r="I545" s="6" t="s">
        <v>1134</v>
      </c>
      <c r="J545" s="6" t="s">
        <v>11</v>
      </c>
      <c r="K545" s="6" t="s">
        <v>156</v>
      </c>
      <c r="L545" s="6" t="s">
        <v>74</v>
      </c>
    </row>
    <row r="546" spans="1:12">
      <c r="A546" s="5" t="s">
        <v>1135</v>
      </c>
      <c r="B546" s="20">
        <v>5412</v>
      </c>
      <c r="C546" s="9">
        <v>1192</v>
      </c>
      <c r="D546" s="9">
        <v>18</v>
      </c>
      <c r="E546" s="9" t="s">
        <v>10</v>
      </c>
      <c r="F546" s="6" t="s">
        <v>34</v>
      </c>
      <c r="G546" s="6" t="s">
        <v>12</v>
      </c>
      <c r="H546" s="9" t="s">
        <v>1136</v>
      </c>
      <c r="I546" s="6" t="s">
        <v>1137</v>
      </c>
      <c r="J546" s="6" t="s">
        <v>7</v>
      </c>
      <c r="K546" s="6" t="s">
        <v>162</v>
      </c>
      <c r="L546" s="6" t="s">
        <v>85</v>
      </c>
    </row>
    <row r="547" spans="1:12">
      <c r="A547" s="3" t="s">
        <v>1135</v>
      </c>
      <c r="B547" s="19">
        <v>5412</v>
      </c>
      <c r="C547" s="8">
        <v>1192</v>
      </c>
      <c r="D547" s="8">
        <v>18</v>
      </c>
      <c r="E547" s="8" t="s">
        <v>10</v>
      </c>
      <c r="F547" s="4" t="s">
        <v>34</v>
      </c>
      <c r="G547" s="4" t="s">
        <v>12</v>
      </c>
      <c r="H547" s="10">
        <v>45717</v>
      </c>
      <c r="I547" s="4" t="s">
        <v>1138</v>
      </c>
      <c r="J547" s="4" t="s">
        <v>7</v>
      </c>
      <c r="K547" s="4" t="s">
        <v>205</v>
      </c>
      <c r="L547" s="4" t="s">
        <v>96</v>
      </c>
    </row>
    <row r="548" spans="1:12">
      <c r="A548" s="5" t="s">
        <v>1139</v>
      </c>
      <c r="B548" s="20">
        <v>5410</v>
      </c>
      <c r="C548" s="9">
        <v>2456</v>
      </c>
      <c r="D548" s="9">
        <v>8</v>
      </c>
      <c r="E548" s="9" t="s">
        <v>10</v>
      </c>
      <c r="F548" s="6" t="s">
        <v>30</v>
      </c>
      <c r="G548" s="6" t="s">
        <v>12</v>
      </c>
      <c r="H548" s="9" t="s">
        <v>1140</v>
      </c>
      <c r="I548" s="6" t="s">
        <v>1141</v>
      </c>
      <c r="J548" s="6" t="s">
        <v>7</v>
      </c>
      <c r="K548" s="6" t="s">
        <v>205</v>
      </c>
      <c r="L548" s="6" t="s">
        <v>88</v>
      </c>
    </row>
    <row r="549" spans="1:12">
      <c r="A549" s="3" t="s">
        <v>1139</v>
      </c>
      <c r="B549" s="19">
        <v>5410</v>
      </c>
      <c r="C549" s="8">
        <v>2456</v>
      </c>
      <c r="D549" s="8">
        <v>8</v>
      </c>
      <c r="E549" s="8" t="s">
        <v>10</v>
      </c>
      <c r="F549" s="4" t="s">
        <v>30</v>
      </c>
      <c r="G549" s="4" t="s">
        <v>12</v>
      </c>
      <c r="H549" s="10">
        <v>44652</v>
      </c>
      <c r="I549" s="4" t="s">
        <v>1142</v>
      </c>
      <c r="J549" s="4" t="s">
        <v>11</v>
      </c>
      <c r="K549" s="4" t="s">
        <v>136</v>
      </c>
      <c r="L549" s="4" t="s">
        <v>60</v>
      </c>
    </row>
    <row r="550" spans="1:12">
      <c r="A550" s="5" t="s">
        <v>1143</v>
      </c>
      <c r="B550" s="20">
        <v>5402</v>
      </c>
      <c r="C550" s="9">
        <v>1666</v>
      </c>
      <c r="D550" s="9">
        <v>12</v>
      </c>
      <c r="E550" s="9" t="s">
        <v>10</v>
      </c>
      <c r="F550" s="6" t="s">
        <v>28</v>
      </c>
      <c r="G550" s="6" t="s">
        <v>20</v>
      </c>
      <c r="H550" s="9" t="s">
        <v>1144</v>
      </c>
      <c r="I550" s="6" t="s">
        <v>1145</v>
      </c>
      <c r="J550" s="6" t="s">
        <v>22</v>
      </c>
      <c r="K550" s="6" t="s">
        <v>117</v>
      </c>
      <c r="L550" s="6" t="s">
        <v>97</v>
      </c>
    </row>
    <row r="551" spans="1:12">
      <c r="A551" s="5" t="s">
        <v>1146</v>
      </c>
      <c r="B551" s="20">
        <v>5393</v>
      </c>
      <c r="C551" s="9">
        <v>2642</v>
      </c>
      <c r="D551" s="9">
        <v>8</v>
      </c>
      <c r="E551" s="9" t="s">
        <v>10</v>
      </c>
      <c r="F551" s="6" t="s">
        <v>30</v>
      </c>
      <c r="G551" s="6" t="s">
        <v>23</v>
      </c>
      <c r="H551" s="11">
        <v>44380</v>
      </c>
      <c r="I551" s="6" t="s">
        <v>1147</v>
      </c>
      <c r="J551" s="6" t="s">
        <v>22</v>
      </c>
      <c r="K551" s="6" t="s">
        <v>223</v>
      </c>
      <c r="L551" s="6" t="s">
        <v>50</v>
      </c>
    </row>
    <row r="552" spans="1:12">
      <c r="A552" s="3" t="s">
        <v>1148</v>
      </c>
      <c r="B552" s="19">
        <v>5389</v>
      </c>
      <c r="C552" s="8">
        <v>2196</v>
      </c>
      <c r="D552" s="8">
        <v>5</v>
      </c>
      <c r="E552" s="8" t="s">
        <v>10</v>
      </c>
      <c r="F552" s="4" t="s">
        <v>34</v>
      </c>
      <c r="G552" s="4" t="s">
        <v>23</v>
      </c>
      <c r="H552" s="10">
        <v>45028</v>
      </c>
      <c r="I552" s="4" t="s">
        <v>1149</v>
      </c>
      <c r="J552" s="4" t="s">
        <v>7</v>
      </c>
      <c r="K552" s="4" t="s">
        <v>162</v>
      </c>
      <c r="L552" s="4" t="s">
        <v>83</v>
      </c>
    </row>
    <row r="553" spans="1:12">
      <c r="A553" s="3" t="s">
        <v>1150</v>
      </c>
      <c r="B553" s="19">
        <v>5379</v>
      </c>
      <c r="C553" s="8">
        <v>2510</v>
      </c>
      <c r="D553" s="8">
        <v>17</v>
      </c>
      <c r="E553" s="8" t="s">
        <v>6</v>
      </c>
      <c r="F553" s="4" t="s">
        <v>24</v>
      </c>
      <c r="G553" s="4" t="s">
        <v>8</v>
      </c>
      <c r="H553" s="8" t="s">
        <v>1151</v>
      </c>
      <c r="I553" s="4" t="s">
        <v>1152</v>
      </c>
      <c r="J553" s="4" t="s">
        <v>22</v>
      </c>
      <c r="K553" s="4" t="s">
        <v>179</v>
      </c>
      <c r="L553" s="4" t="s">
        <v>63</v>
      </c>
    </row>
    <row r="554" spans="1:12">
      <c r="A554" s="5" t="s">
        <v>1153</v>
      </c>
      <c r="B554" s="20">
        <v>5376</v>
      </c>
      <c r="C554" s="9">
        <v>1928</v>
      </c>
      <c r="D554" s="9">
        <v>7</v>
      </c>
      <c r="E554" s="9" t="s">
        <v>10</v>
      </c>
      <c r="F554" s="6" t="s">
        <v>34</v>
      </c>
      <c r="G554" s="6" t="s">
        <v>12</v>
      </c>
      <c r="H554" s="9" t="s">
        <v>383</v>
      </c>
      <c r="I554" s="6" t="s">
        <v>1154</v>
      </c>
      <c r="J554" s="6" t="s">
        <v>19</v>
      </c>
      <c r="K554" s="6" t="s">
        <v>210</v>
      </c>
      <c r="L554" s="6" t="s">
        <v>96</v>
      </c>
    </row>
    <row r="555" spans="1:12">
      <c r="A555" s="5" t="s">
        <v>1155</v>
      </c>
      <c r="B555" s="20">
        <v>5354</v>
      </c>
      <c r="C555" s="9">
        <v>743</v>
      </c>
      <c r="D555" s="9">
        <v>10</v>
      </c>
      <c r="E555" s="9" t="s">
        <v>10</v>
      </c>
      <c r="F555" s="6" t="s">
        <v>28</v>
      </c>
      <c r="G555" s="6" t="s">
        <v>23</v>
      </c>
      <c r="H555" s="9" t="s">
        <v>1156</v>
      </c>
      <c r="I555" s="6" t="s">
        <v>1157</v>
      </c>
      <c r="J555" s="6" t="s">
        <v>15</v>
      </c>
      <c r="K555" s="6" t="s">
        <v>171</v>
      </c>
      <c r="L555" s="6" t="s">
        <v>57</v>
      </c>
    </row>
    <row r="556" spans="1:12">
      <c r="A556" s="3" t="s">
        <v>1158</v>
      </c>
      <c r="B556" s="19">
        <v>5346</v>
      </c>
      <c r="C556" s="8">
        <v>1246</v>
      </c>
      <c r="D556" s="8">
        <v>17</v>
      </c>
      <c r="E556" s="8" t="s">
        <v>10</v>
      </c>
      <c r="F556" s="4" t="s">
        <v>32</v>
      </c>
      <c r="G556" s="4" t="s">
        <v>20</v>
      </c>
      <c r="H556" s="8" t="s">
        <v>1159</v>
      </c>
      <c r="I556" s="4" t="s">
        <v>1160</v>
      </c>
      <c r="J556" s="4" t="s">
        <v>11</v>
      </c>
      <c r="K556" s="4" t="s">
        <v>120</v>
      </c>
      <c r="L556" s="4" t="s">
        <v>66</v>
      </c>
    </row>
    <row r="557" spans="1:12">
      <c r="A557" s="5" t="s">
        <v>1158</v>
      </c>
      <c r="B557" s="20">
        <v>5346</v>
      </c>
      <c r="C557" s="9">
        <v>1246</v>
      </c>
      <c r="D557" s="9">
        <v>17</v>
      </c>
      <c r="E557" s="9" t="s">
        <v>10</v>
      </c>
      <c r="F557" s="6" t="s">
        <v>32</v>
      </c>
      <c r="G557" s="6" t="s">
        <v>20</v>
      </c>
      <c r="H557" s="11">
        <v>44747</v>
      </c>
      <c r="I557" s="6" t="s">
        <v>1161</v>
      </c>
      <c r="J557" s="6" t="s">
        <v>11</v>
      </c>
      <c r="K557" s="6" t="s">
        <v>156</v>
      </c>
      <c r="L557" s="6" t="s">
        <v>64</v>
      </c>
    </row>
    <row r="558" spans="1:12">
      <c r="A558" s="5" t="s">
        <v>1162</v>
      </c>
      <c r="B558" s="20">
        <v>5344</v>
      </c>
      <c r="C558" s="9">
        <v>2607</v>
      </c>
      <c r="D558" s="9">
        <v>6</v>
      </c>
      <c r="E558" s="9" t="s">
        <v>14</v>
      </c>
      <c r="F558" s="6" t="s">
        <v>42</v>
      </c>
      <c r="G558" s="6" t="s">
        <v>16</v>
      </c>
      <c r="H558" s="9" t="s">
        <v>1163</v>
      </c>
      <c r="I558" s="6" t="s">
        <v>1164</v>
      </c>
      <c r="J558" s="6" t="s">
        <v>25</v>
      </c>
      <c r="K558" s="6" t="s">
        <v>129</v>
      </c>
      <c r="L558" s="6" t="s">
        <v>63</v>
      </c>
    </row>
    <row r="559" spans="1:12">
      <c r="A559" s="3" t="s">
        <v>1162</v>
      </c>
      <c r="B559" s="19">
        <v>5344</v>
      </c>
      <c r="C559" s="8">
        <v>2607</v>
      </c>
      <c r="D559" s="8">
        <v>6</v>
      </c>
      <c r="E559" s="8" t="s">
        <v>14</v>
      </c>
      <c r="F559" s="4" t="s">
        <v>42</v>
      </c>
      <c r="G559" s="4" t="s">
        <v>16</v>
      </c>
      <c r="H559" s="8" t="s">
        <v>1165</v>
      </c>
      <c r="I559" s="4" t="s">
        <v>1166</v>
      </c>
      <c r="J559" s="4" t="s">
        <v>19</v>
      </c>
      <c r="K559" s="4" t="s">
        <v>108</v>
      </c>
      <c r="L559" s="4" t="s">
        <v>97</v>
      </c>
    </row>
    <row r="560" spans="1:12">
      <c r="A560" s="3" t="s">
        <v>1167</v>
      </c>
      <c r="B560" s="19">
        <v>5343</v>
      </c>
      <c r="C560" s="8">
        <v>655</v>
      </c>
      <c r="D560" s="8">
        <v>1</v>
      </c>
      <c r="E560" s="8" t="s">
        <v>10</v>
      </c>
      <c r="F560" s="4" t="s">
        <v>30</v>
      </c>
      <c r="G560" s="4" t="s">
        <v>20</v>
      </c>
      <c r="H560" s="8" t="s">
        <v>1168</v>
      </c>
      <c r="I560" s="4" t="s">
        <v>1169</v>
      </c>
      <c r="J560" s="4" t="s">
        <v>7</v>
      </c>
      <c r="K560" s="4" t="s">
        <v>162</v>
      </c>
      <c r="L560" s="4" t="s">
        <v>87</v>
      </c>
    </row>
    <row r="561" spans="1:12">
      <c r="A561" s="3" t="s">
        <v>1170</v>
      </c>
      <c r="B561" s="19">
        <v>5338</v>
      </c>
      <c r="C561" s="8">
        <v>1354</v>
      </c>
      <c r="D561" s="8">
        <v>16</v>
      </c>
      <c r="E561" s="8" t="s">
        <v>14</v>
      </c>
      <c r="F561" s="4" t="s">
        <v>40</v>
      </c>
      <c r="G561" s="4" t="s">
        <v>23</v>
      </c>
      <c r="H561" s="10">
        <v>45299</v>
      </c>
      <c r="I561" s="4" t="s">
        <v>1171</v>
      </c>
      <c r="J561" s="4" t="s">
        <v>15</v>
      </c>
      <c r="K561" s="4" t="s">
        <v>235</v>
      </c>
      <c r="L561" s="4" t="s">
        <v>91</v>
      </c>
    </row>
    <row r="562" spans="1:12">
      <c r="A562" s="5" t="s">
        <v>1170</v>
      </c>
      <c r="B562" s="20">
        <v>5338</v>
      </c>
      <c r="C562" s="9">
        <v>1354</v>
      </c>
      <c r="D562" s="9">
        <v>16</v>
      </c>
      <c r="E562" s="9" t="s">
        <v>14</v>
      </c>
      <c r="F562" s="6" t="s">
        <v>40</v>
      </c>
      <c r="G562" s="6" t="s">
        <v>23</v>
      </c>
      <c r="H562" s="11">
        <v>45113</v>
      </c>
      <c r="I562" s="6" t="s">
        <v>1172</v>
      </c>
      <c r="J562" s="6" t="s">
        <v>19</v>
      </c>
      <c r="K562" s="6" t="s">
        <v>126</v>
      </c>
      <c r="L562" s="6" t="s">
        <v>77</v>
      </c>
    </row>
    <row r="563" spans="1:12">
      <c r="A563" s="3" t="s">
        <v>1170</v>
      </c>
      <c r="B563" s="19">
        <v>5338</v>
      </c>
      <c r="C563" s="8">
        <v>1354</v>
      </c>
      <c r="D563" s="8">
        <v>16</v>
      </c>
      <c r="E563" s="8" t="s">
        <v>14</v>
      </c>
      <c r="F563" s="4" t="s">
        <v>40</v>
      </c>
      <c r="G563" s="4" t="s">
        <v>23</v>
      </c>
      <c r="H563" s="8" t="s">
        <v>1173</v>
      </c>
      <c r="I563" s="4" t="s">
        <v>1174</v>
      </c>
      <c r="J563" s="4" t="s">
        <v>11</v>
      </c>
      <c r="K563" s="4" t="s">
        <v>120</v>
      </c>
      <c r="L563" s="4" t="s">
        <v>93</v>
      </c>
    </row>
    <row r="564" spans="1:12">
      <c r="A564" s="5" t="s">
        <v>1170</v>
      </c>
      <c r="B564" s="20">
        <v>5338</v>
      </c>
      <c r="C564" s="9">
        <v>1354</v>
      </c>
      <c r="D564" s="9">
        <v>16</v>
      </c>
      <c r="E564" s="9" t="s">
        <v>14</v>
      </c>
      <c r="F564" s="6" t="s">
        <v>40</v>
      </c>
      <c r="G564" s="6" t="s">
        <v>23</v>
      </c>
      <c r="H564" s="11">
        <v>44287</v>
      </c>
      <c r="I564" s="6" t="s">
        <v>1175</v>
      </c>
      <c r="J564" s="6" t="s">
        <v>19</v>
      </c>
      <c r="K564" s="6" t="s">
        <v>126</v>
      </c>
      <c r="L564" s="6" t="s">
        <v>48</v>
      </c>
    </row>
    <row r="565" spans="1:12">
      <c r="A565" s="3" t="s">
        <v>1176</v>
      </c>
      <c r="B565" s="19">
        <v>5335</v>
      </c>
      <c r="C565" s="8">
        <v>322</v>
      </c>
      <c r="D565" s="8">
        <v>15</v>
      </c>
      <c r="E565" s="8" t="s">
        <v>6</v>
      </c>
      <c r="F565" s="4" t="s">
        <v>13</v>
      </c>
      <c r="G565" s="4" t="s">
        <v>8</v>
      </c>
      <c r="H565" s="8" t="s">
        <v>1177</v>
      </c>
      <c r="I565" s="4" t="s">
        <v>1178</v>
      </c>
      <c r="J565" s="4" t="s">
        <v>19</v>
      </c>
      <c r="K565" s="4" t="s">
        <v>210</v>
      </c>
      <c r="L565" s="4" t="s">
        <v>64</v>
      </c>
    </row>
    <row r="566" spans="1:12">
      <c r="A566" s="3" t="s">
        <v>1179</v>
      </c>
      <c r="B566" s="19">
        <v>5323</v>
      </c>
      <c r="C566" s="8">
        <v>322</v>
      </c>
      <c r="D566" s="8">
        <v>13</v>
      </c>
      <c r="E566" s="8" t="s">
        <v>14</v>
      </c>
      <c r="F566" s="4" t="s">
        <v>38</v>
      </c>
      <c r="G566" s="4" t="s">
        <v>8</v>
      </c>
      <c r="H566" s="10">
        <v>45419</v>
      </c>
      <c r="I566" s="4" t="s">
        <v>1180</v>
      </c>
      <c r="J566" s="4" t="s">
        <v>11</v>
      </c>
      <c r="K566" s="4" t="s">
        <v>136</v>
      </c>
      <c r="L566" s="4" t="s">
        <v>90</v>
      </c>
    </row>
    <row r="567" spans="1:12">
      <c r="A567" s="5" t="s">
        <v>1181</v>
      </c>
      <c r="B567" s="20">
        <v>5322</v>
      </c>
      <c r="C567" s="9">
        <v>1423</v>
      </c>
      <c r="D567" s="9">
        <v>18</v>
      </c>
      <c r="E567" s="9" t="s">
        <v>10</v>
      </c>
      <c r="F567" s="6" t="s">
        <v>32</v>
      </c>
      <c r="G567" s="6" t="s">
        <v>8</v>
      </c>
      <c r="H567" s="11">
        <v>44785</v>
      </c>
      <c r="I567" s="6" t="s">
        <v>1182</v>
      </c>
      <c r="J567" s="6" t="s">
        <v>25</v>
      </c>
      <c r="K567" s="6" t="s">
        <v>253</v>
      </c>
      <c r="L567" s="6" t="s">
        <v>71</v>
      </c>
    </row>
    <row r="568" spans="1:12">
      <c r="A568" s="3" t="s">
        <v>1181</v>
      </c>
      <c r="B568" s="19">
        <v>5322</v>
      </c>
      <c r="C568" s="8">
        <v>1423</v>
      </c>
      <c r="D568" s="8">
        <v>18</v>
      </c>
      <c r="E568" s="8" t="s">
        <v>10</v>
      </c>
      <c r="F568" s="4" t="s">
        <v>32</v>
      </c>
      <c r="G568" s="4" t="s">
        <v>8</v>
      </c>
      <c r="H568" s="10">
        <v>45181</v>
      </c>
      <c r="I568" s="4" t="s">
        <v>1183</v>
      </c>
      <c r="J568" s="4" t="s">
        <v>25</v>
      </c>
      <c r="K568" s="4" t="s">
        <v>129</v>
      </c>
      <c r="L568" s="4" t="s">
        <v>83</v>
      </c>
    </row>
    <row r="569" spans="1:12">
      <c r="A569" s="5" t="s">
        <v>977</v>
      </c>
      <c r="B569" s="20">
        <v>5317</v>
      </c>
      <c r="C569" s="9">
        <v>1345</v>
      </c>
      <c r="D569" s="9">
        <v>18</v>
      </c>
      <c r="E569" s="9" t="s">
        <v>10</v>
      </c>
      <c r="F569" s="6" t="s">
        <v>30</v>
      </c>
      <c r="G569" s="6" t="s">
        <v>16</v>
      </c>
      <c r="H569" s="11">
        <v>44987</v>
      </c>
      <c r="I569" s="6" t="s">
        <v>978</v>
      </c>
      <c r="J569" s="6" t="s">
        <v>22</v>
      </c>
      <c r="K569" s="6" t="s">
        <v>179</v>
      </c>
      <c r="L569" s="6" t="s">
        <v>73</v>
      </c>
    </row>
    <row r="570" spans="1:12">
      <c r="A570" s="3" t="s">
        <v>977</v>
      </c>
      <c r="B570" s="19">
        <v>5317</v>
      </c>
      <c r="C570" s="8">
        <v>1345</v>
      </c>
      <c r="D570" s="8">
        <v>18</v>
      </c>
      <c r="E570" s="8" t="s">
        <v>10</v>
      </c>
      <c r="F570" s="4" t="s">
        <v>30</v>
      </c>
      <c r="G570" s="4" t="s">
        <v>16</v>
      </c>
      <c r="H570" s="8" t="s">
        <v>979</v>
      </c>
      <c r="I570" s="4" t="s">
        <v>980</v>
      </c>
      <c r="J570" s="4" t="s">
        <v>11</v>
      </c>
      <c r="K570" s="4" t="s">
        <v>120</v>
      </c>
      <c r="L570" s="4" t="s">
        <v>75</v>
      </c>
    </row>
    <row r="571" spans="1:12">
      <c r="A571" s="5" t="s">
        <v>977</v>
      </c>
      <c r="B571" s="20">
        <v>5317</v>
      </c>
      <c r="C571" s="9">
        <v>1345</v>
      </c>
      <c r="D571" s="9">
        <v>18</v>
      </c>
      <c r="E571" s="9" t="s">
        <v>10</v>
      </c>
      <c r="F571" s="6" t="s">
        <v>30</v>
      </c>
      <c r="G571" s="6" t="s">
        <v>16</v>
      </c>
      <c r="H571" s="9" t="s">
        <v>981</v>
      </c>
      <c r="I571" s="6" t="s">
        <v>982</v>
      </c>
      <c r="J571" s="6" t="s">
        <v>7</v>
      </c>
      <c r="K571" s="6" t="s">
        <v>124</v>
      </c>
      <c r="L571" s="6" t="s">
        <v>94</v>
      </c>
    </row>
    <row r="572" spans="1:12">
      <c r="A572" s="3" t="s">
        <v>1184</v>
      </c>
      <c r="B572" s="19">
        <v>5313</v>
      </c>
      <c r="C572" s="8">
        <v>2037</v>
      </c>
      <c r="D572" s="8">
        <v>7</v>
      </c>
      <c r="E572" s="8" t="s">
        <v>6</v>
      </c>
      <c r="F572" s="4" t="s">
        <v>24</v>
      </c>
      <c r="G572" s="4" t="s">
        <v>16</v>
      </c>
      <c r="H572" s="8" t="s">
        <v>1068</v>
      </c>
      <c r="I572" s="4" t="s">
        <v>1185</v>
      </c>
      <c r="J572" s="4" t="s">
        <v>7</v>
      </c>
      <c r="K572" s="4" t="s">
        <v>124</v>
      </c>
      <c r="L572" s="4" t="s">
        <v>94</v>
      </c>
    </row>
    <row r="573" spans="1:12">
      <c r="A573" s="5" t="s">
        <v>1184</v>
      </c>
      <c r="B573" s="20">
        <v>5313</v>
      </c>
      <c r="C573" s="9">
        <v>2037</v>
      </c>
      <c r="D573" s="9">
        <v>7</v>
      </c>
      <c r="E573" s="9" t="s">
        <v>6</v>
      </c>
      <c r="F573" s="6" t="s">
        <v>24</v>
      </c>
      <c r="G573" s="6" t="s">
        <v>16</v>
      </c>
      <c r="H573" s="9" t="s">
        <v>1186</v>
      </c>
      <c r="I573" s="6" t="s">
        <v>1187</v>
      </c>
      <c r="J573" s="6" t="s">
        <v>25</v>
      </c>
      <c r="K573" s="6" t="s">
        <v>253</v>
      </c>
      <c r="L573" s="6" t="s">
        <v>57</v>
      </c>
    </row>
    <row r="574" spans="1:12">
      <c r="A574" s="3" t="s">
        <v>1188</v>
      </c>
      <c r="B574" s="19">
        <v>5306</v>
      </c>
      <c r="C574" s="8">
        <v>2405</v>
      </c>
      <c r="D574" s="8">
        <v>17</v>
      </c>
      <c r="E574" s="8" t="s">
        <v>10</v>
      </c>
      <c r="F574" s="4" t="s">
        <v>34</v>
      </c>
      <c r="G574" s="4" t="s">
        <v>20</v>
      </c>
      <c r="H574" s="8" t="s">
        <v>1189</v>
      </c>
      <c r="I574" s="4" t="s">
        <v>1190</v>
      </c>
      <c r="J574" s="4" t="s">
        <v>19</v>
      </c>
      <c r="K574" s="4" t="s">
        <v>126</v>
      </c>
      <c r="L574" s="4" t="s">
        <v>86</v>
      </c>
    </row>
    <row r="575" spans="1:12">
      <c r="A575" s="3" t="s">
        <v>1191</v>
      </c>
      <c r="B575" s="19">
        <v>5301</v>
      </c>
      <c r="C575" s="8">
        <v>817</v>
      </c>
      <c r="D575" s="8">
        <v>10</v>
      </c>
      <c r="E575" s="8" t="s">
        <v>10</v>
      </c>
      <c r="F575" s="4" t="s">
        <v>34</v>
      </c>
      <c r="G575" s="4" t="s">
        <v>16</v>
      </c>
      <c r="H575" s="10">
        <v>45542</v>
      </c>
      <c r="I575" s="4" t="s">
        <v>1192</v>
      </c>
      <c r="J575" s="4" t="s">
        <v>7</v>
      </c>
      <c r="K575" s="4" t="s">
        <v>205</v>
      </c>
      <c r="L575" s="4" t="s">
        <v>90</v>
      </c>
    </row>
    <row r="576" spans="1:12">
      <c r="A576" s="5" t="s">
        <v>1193</v>
      </c>
      <c r="B576" s="20">
        <v>5266</v>
      </c>
      <c r="C576" s="9">
        <v>1111</v>
      </c>
      <c r="D576" s="9">
        <v>13</v>
      </c>
      <c r="E576" s="9" t="s">
        <v>6</v>
      </c>
      <c r="F576" s="6" t="s">
        <v>13</v>
      </c>
      <c r="G576" s="6" t="s">
        <v>16</v>
      </c>
      <c r="H576" s="11">
        <v>44866</v>
      </c>
      <c r="I576" s="6" t="s">
        <v>1194</v>
      </c>
      <c r="J576" s="6" t="s">
        <v>25</v>
      </c>
      <c r="K576" s="6" t="s">
        <v>111</v>
      </c>
      <c r="L576" s="6" t="s">
        <v>60</v>
      </c>
    </row>
    <row r="577" spans="1:12">
      <c r="A577" s="3" t="s">
        <v>1193</v>
      </c>
      <c r="B577" s="19">
        <v>5266</v>
      </c>
      <c r="C577" s="8">
        <v>1111</v>
      </c>
      <c r="D577" s="8">
        <v>13</v>
      </c>
      <c r="E577" s="8" t="s">
        <v>6</v>
      </c>
      <c r="F577" s="4" t="s">
        <v>13</v>
      </c>
      <c r="G577" s="4" t="s">
        <v>16</v>
      </c>
      <c r="H577" s="8" t="s">
        <v>1195</v>
      </c>
      <c r="I577" s="4" t="s">
        <v>1196</v>
      </c>
      <c r="J577" s="4" t="s">
        <v>15</v>
      </c>
      <c r="K577" s="4" t="s">
        <v>132</v>
      </c>
      <c r="L577" s="4" t="s">
        <v>49</v>
      </c>
    </row>
    <row r="578" spans="1:12">
      <c r="A578" s="3" t="s">
        <v>1197</v>
      </c>
      <c r="B578" s="19">
        <v>5263</v>
      </c>
      <c r="C578" s="8">
        <v>1743</v>
      </c>
      <c r="D578" s="8">
        <v>19</v>
      </c>
      <c r="E578" s="8" t="s">
        <v>10</v>
      </c>
      <c r="F578" s="4" t="s">
        <v>32</v>
      </c>
      <c r="G578" s="4" t="s">
        <v>12</v>
      </c>
      <c r="H578" s="8" t="s">
        <v>1198</v>
      </c>
      <c r="I578" s="4" t="s">
        <v>1199</v>
      </c>
      <c r="J578" s="4" t="s">
        <v>11</v>
      </c>
      <c r="K578" s="4" t="s">
        <v>156</v>
      </c>
      <c r="L578" s="4" t="s">
        <v>67</v>
      </c>
    </row>
    <row r="579" spans="1:12">
      <c r="A579" s="5" t="s">
        <v>1200</v>
      </c>
      <c r="B579" s="20">
        <v>5250</v>
      </c>
      <c r="C579" s="9">
        <v>187</v>
      </c>
      <c r="D579" s="9">
        <v>1</v>
      </c>
      <c r="E579" s="9" t="s">
        <v>14</v>
      </c>
      <c r="F579" s="6" t="s">
        <v>38</v>
      </c>
      <c r="G579" s="6" t="s">
        <v>8</v>
      </c>
      <c r="H579" s="9" t="s">
        <v>1061</v>
      </c>
      <c r="I579" s="6" t="s">
        <v>1201</v>
      </c>
      <c r="J579" s="6" t="s">
        <v>22</v>
      </c>
      <c r="K579" s="6" t="s">
        <v>223</v>
      </c>
      <c r="L579" s="6" t="s">
        <v>62</v>
      </c>
    </row>
    <row r="580" spans="1:12">
      <c r="A580" s="3" t="s">
        <v>1200</v>
      </c>
      <c r="B580" s="19">
        <v>5250</v>
      </c>
      <c r="C580" s="8">
        <v>187</v>
      </c>
      <c r="D580" s="8">
        <v>1</v>
      </c>
      <c r="E580" s="8" t="s">
        <v>14</v>
      </c>
      <c r="F580" s="4" t="s">
        <v>38</v>
      </c>
      <c r="G580" s="4" t="s">
        <v>8</v>
      </c>
      <c r="H580" s="8" t="s">
        <v>1202</v>
      </c>
      <c r="I580" s="4" t="s">
        <v>1203</v>
      </c>
      <c r="J580" s="4" t="s">
        <v>25</v>
      </c>
      <c r="K580" s="4" t="s">
        <v>253</v>
      </c>
      <c r="L580" s="4" t="s">
        <v>76</v>
      </c>
    </row>
    <row r="581" spans="1:12">
      <c r="A581" s="5" t="s">
        <v>554</v>
      </c>
      <c r="B581" s="20">
        <v>5234</v>
      </c>
      <c r="C581" s="9">
        <v>2021</v>
      </c>
      <c r="D581" s="9">
        <v>15</v>
      </c>
      <c r="E581" s="9" t="s">
        <v>10</v>
      </c>
      <c r="F581" s="6" t="s">
        <v>28</v>
      </c>
      <c r="G581" s="6" t="s">
        <v>20</v>
      </c>
      <c r="H581" s="9" t="s">
        <v>555</v>
      </c>
      <c r="I581" s="6" t="s">
        <v>556</v>
      </c>
      <c r="J581" s="6" t="s">
        <v>15</v>
      </c>
      <c r="K581" s="6" t="s">
        <v>235</v>
      </c>
      <c r="L581" s="6" t="s">
        <v>81</v>
      </c>
    </row>
    <row r="582" spans="1:12">
      <c r="A582" s="3" t="s">
        <v>554</v>
      </c>
      <c r="B582" s="19">
        <v>5234</v>
      </c>
      <c r="C582" s="8">
        <v>2021</v>
      </c>
      <c r="D582" s="8">
        <v>15</v>
      </c>
      <c r="E582" s="8" t="s">
        <v>10</v>
      </c>
      <c r="F582" s="4" t="s">
        <v>28</v>
      </c>
      <c r="G582" s="4" t="s">
        <v>20</v>
      </c>
      <c r="H582" s="8" t="s">
        <v>557</v>
      </c>
      <c r="I582" s="4" t="s">
        <v>558</v>
      </c>
      <c r="J582" s="4" t="s">
        <v>19</v>
      </c>
      <c r="K582" s="4" t="s">
        <v>126</v>
      </c>
      <c r="L582" s="4" t="s">
        <v>65</v>
      </c>
    </row>
    <row r="583" spans="1:12">
      <c r="A583" s="3" t="s">
        <v>777</v>
      </c>
      <c r="B583" s="19">
        <v>5224</v>
      </c>
      <c r="C583" s="8">
        <v>1958</v>
      </c>
      <c r="D583" s="8">
        <v>16</v>
      </c>
      <c r="E583" s="8" t="s">
        <v>10</v>
      </c>
      <c r="F583" s="4" t="s">
        <v>30</v>
      </c>
      <c r="G583" s="4" t="s">
        <v>12</v>
      </c>
      <c r="H583" s="8" t="s">
        <v>778</v>
      </c>
      <c r="I583" s="4" t="s">
        <v>779</v>
      </c>
      <c r="J583" s="4" t="s">
        <v>25</v>
      </c>
      <c r="K583" s="4" t="s">
        <v>253</v>
      </c>
      <c r="L583" s="4" t="s">
        <v>78</v>
      </c>
    </row>
    <row r="584" spans="1:12">
      <c r="A584" s="5" t="s">
        <v>1204</v>
      </c>
      <c r="B584" s="20">
        <v>5219</v>
      </c>
      <c r="C584" s="9">
        <v>1180</v>
      </c>
      <c r="D584" s="9">
        <v>20</v>
      </c>
      <c r="E584" s="9" t="s">
        <v>14</v>
      </c>
      <c r="F584" s="6" t="s">
        <v>38</v>
      </c>
      <c r="G584" s="6" t="s">
        <v>8</v>
      </c>
      <c r="H584" s="9" t="s">
        <v>1205</v>
      </c>
      <c r="I584" s="6" t="s">
        <v>1206</v>
      </c>
      <c r="J584" s="6" t="s">
        <v>19</v>
      </c>
      <c r="K584" s="6" t="s">
        <v>210</v>
      </c>
      <c r="L584" s="6" t="s">
        <v>59</v>
      </c>
    </row>
    <row r="585" spans="1:12">
      <c r="A585" s="3" t="s">
        <v>1204</v>
      </c>
      <c r="B585" s="19">
        <v>5219</v>
      </c>
      <c r="C585" s="8">
        <v>1180</v>
      </c>
      <c r="D585" s="8">
        <v>20</v>
      </c>
      <c r="E585" s="8" t="s">
        <v>14</v>
      </c>
      <c r="F585" s="4" t="s">
        <v>38</v>
      </c>
      <c r="G585" s="4" t="s">
        <v>8</v>
      </c>
      <c r="H585" s="10">
        <v>44987</v>
      </c>
      <c r="I585" s="4" t="s">
        <v>496</v>
      </c>
      <c r="J585" s="4" t="s">
        <v>7</v>
      </c>
      <c r="K585" s="4" t="s">
        <v>124</v>
      </c>
      <c r="L585" s="4" t="s">
        <v>73</v>
      </c>
    </row>
    <row r="586" spans="1:12">
      <c r="A586" s="3" t="s">
        <v>165</v>
      </c>
      <c r="B586" s="19">
        <v>5210</v>
      </c>
      <c r="C586" s="8">
        <v>1185</v>
      </c>
      <c r="D586" s="8">
        <v>7</v>
      </c>
      <c r="E586" s="8" t="s">
        <v>14</v>
      </c>
      <c r="F586" s="4" t="s">
        <v>42</v>
      </c>
      <c r="G586" s="4" t="s">
        <v>23</v>
      </c>
      <c r="H586" s="8" t="s">
        <v>166</v>
      </c>
      <c r="I586" s="4" t="s">
        <v>167</v>
      </c>
      <c r="J586" s="4" t="s">
        <v>19</v>
      </c>
      <c r="K586" s="4" t="s">
        <v>126</v>
      </c>
      <c r="L586" s="4" t="s">
        <v>43</v>
      </c>
    </row>
    <row r="587" spans="1:12">
      <c r="A587" s="5" t="s">
        <v>165</v>
      </c>
      <c r="B587" s="20">
        <v>5210</v>
      </c>
      <c r="C587" s="9">
        <v>1185</v>
      </c>
      <c r="D587" s="9">
        <v>7</v>
      </c>
      <c r="E587" s="9" t="s">
        <v>14</v>
      </c>
      <c r="F587" s="6" t="s">
        <v>42</v>
      </c>
      <c r="G587" s="6" t="s">
        <v>23</v>
      </c>
      <c r="H587" s="11">
        <v>44873</v>
      </c>
      <c r="I587" s="6" t="s">
        <v>168</v>
      </c>
      <c r="J587" s="6" t="s">
        <v>11</v>
      </c>
      <c r="K587" s="6" t="s">
        <v>120</v>
      </c>
      <c r="L587" s="6" t="s">
        <v>67</v>
      </c>
    </row>
    <row r="588" spans="1:12">
      <c r="A588" s="3" t="s">
        <v>165</v>
      </c>
      <c r="B588" s="19">
        <v>5210</v>
      </c>
      <c r="C588" s="8">
        <v>1185</v>
      </c>
      <c r="D588" s="8">
        <v>7</v>
      </c>
      <c r="E588" s="8" t="s">
        <v>14</v>
      </c>
      <c r="F588" s="4" t="s">
        <v>42</v>
      </c>
      <c r="G588" s="4" t="s">
        <v>23</v>
      </c>
      <c r="H588" s="8" t="s">
        <v>169</v>
      </c>
      <c r="I588" s="4" t="s">
        <v>170</v>
      </c>
      <c r="J588" s="4" t="s">
        <v>15</v>
      </c>
      <c r="K588" s="4" t="s">
        <v>171</v>
      </c>
      <c r="L588" s="4" t="s">
        <v>57</v>
      </c>
    </row>
    <row r="589" spans="1:12">
      <c r="A589" s="5" t="s">
        <v>916</v>
      </c>
      <c r="B589" s="20">
        <v>5196</v>
      </c>
      <c r="C589" s="9">
        <v>2477</v>
      </c>
      <c r="D589" s="9">
        <v>1</v>
      </c>
      <c r="E589" s="9" t="s">
        <v>14</v>
      </c>
      <c r="F589" s="6" t="s">
        <v>40</v>
      </c>
      <c r="G589" s="6" t="s">
        <v>23</v>
      </c>
      <c r="H589" s="11">
        <v>44208</v>
      </c>
      <c r="I589" s="6" t="s">
        <v>917</v>
      </c>
      <c r="J589" s="6" t="s">
        <v>25</v>
      </c>
      <c r="K589" s="6" t="s">
        <v>111</v>
      </c>
      <c r="L589" s="6" t="s">
        <v>59</v>
      </c>
    </row>
    <row r="590" spans="1:12">
      <c r="A590" s="5" t="s">
        <v>1207</v>
      </c>
      <c r="B590" s="20">
        <v>5193</v>
      </c>
      <c r="C590" s="9">
        <v>2530</v>
      </c>
      <c r="D590" s="9">
        <v>5</v>
      </c>
      <c r="E590" s="9" t="s">
        <v>10</v>
      </c>
      <c r="F590" s="6" t="s">
        <v>32</v>
      </c>
      <c r="G590" s="6" t="s">
        <v>16</v>
      </c>
      <c r="H590" s="9" t="s">
        <v>1186</v>
      </c>
      <c r="I590" s="6" t="s">
        <v>1208</v>
      </c>
      <c r="J590" s="6" t="s">
        <v>7</v>
      </c>
      <c r="K590" s="6" t="s">
        <v>162</v>
      </c>
      <c r="L590" s="6" t="s">
        <v>57</v>
      </c>
    </row>
    <row r="591" spans="1:12">
      <c r="A591" s="3" t="s">
        <v>1207</v>
      </c>
      <c r="B591" s="19">
        <v>5193</v>
      </c>
      <c r="C591" s="8">
        <v>2530</v>
      </c>
      <c r="D591" s="8">
        <v>5</v>
      </c>
      <c r="E591" s="8" t="s">
        <v>10</v>
      </c>
      <c r="F591" s="4" t="s">
        <v>32</v>
      </c>
      <c r="G591" s="4" t="s">
        <v>16</v>
      </c>
      <c r="H591" s="8" t="s">
        <v>1209</v>
      </c>
      <c r="I591" s="4" t="s">
        <v>1210</v>
      </c>
      <c r="J591" s="4" t="s">
        <v>11</v>
      </c>
      <c r="K591" s="4" t="s">
        <v>156</v>
      </c>
      <c r="L591" s="4" t="s">
        <v>95</v>
      </c>
    </row>
    <row r="592" spans="1:12">
      <c r="A592" s="3" t="s">
        <v>559</v>
      </c>
      <c r="B592" s="19">
        <v>5167</v>
      </c>
      <c r="C592" s="8">
        <v>253</v>
      </c>
      <c r="D592" s="8">
        <v>14</v>
      </c>
      <c r="E592" s="8" t="s">
        <v>6</v>
      </c>
      <c r="F592" s="4" t="s">
        <v>24</v>
      </c>
      <c r="G592" s="4" t="s">
        <v>12</v>
      </c>
      <c r="H592" s="8" t="s">
        <v>560</v>
      </c>
      <c r="I592" s="4" t="s">
        <v>561</v>
      </c>
      <c r="J592" s="4" t="s">
        <v>25</v>
      </c>
      <c r="K592" s="4" t="s">
        <v>253</v>
      </c>
      <c r="L592" s="4" t="s">
        <v>39</v>
      </c>
    </row>
    <row r="593" spans="1:12">
      <c r="A593" s="5" t="s">
        <v>559</v>
      </c>
      <c r="B593" s="20">
        <v>5167</v>
      </c>
      <c r="C593" s="9">
        <v>253</v>
      </c>
      <c r="D593" s="9">
        <v>14</v>
      </c>
      <c r="E593" s="9" t="s">
        <v>6</v>
      </c>
      <c r="F593" s="6" t="s">
        <v>24</v>
      </c>
      <c r="G593" s="6" t="s">
        <v>12</v>
      </c>
      <c r="H593" s="9" t="s">
        <v>562</v>
      </c>
      <c r="I593" s="6" t="s">
        <v>563</v>
      </c>
      <c r="J593" s="6" t="s">
        <v>15</v>
      </c>
      <c r="K593" s="6" t="s">
        <v>132</v>
      </c>
      <c r="L593" s="6" t="s">
        <v>75</v>
      </c>
    </row>
    <row r="594" spans="1:12">
      <c r="A594" s="3" t="s">
        <v>559</v>
      </c>
      <c r="B594" s="19">
        <v>5167</v>
      </c>
      <c r="C594" s="8">
        <v>253</v>
      </c>
      <c r="D594" s="8">
        <v>14</v>
      </c>
      <c r="E594" s="8" t="s">
        <v>6</v>
      </c>
      <c r="F594" s="4" t="s">
        <v>24</v>
      </c>
      <c r="G594" s="4" t="s">
        <v>12</v>
      </c>
      <c r="H594" s="8" t="s">
        <v>564</v>
      </c>
      <c r="I594" s="4" t="s">
        <v>565</v>
      </c>
      <c r="J594" s="4" t="s">
        <v>7</v>
      </c>
      <c r="K594" s="4" t="s">
        <v>124</v>
      </c>
      <c r="L594" s="4" t="s">
        <v>83</v>
      </c>
    </row>
    <row r="595" spans="1:12">
      <c r="A595" s="3" t="s">
        <v>1211</v>
      </c>
      <c r="B595" s="19">
        <v>5165</v>
      </c>
      <c r="C595" s="8">
        <v>885</v>
      </c>
      <c r="D595" s="8">
        <v>16</v>
      </c>
      <c r="E595" s="8" t="s">
        <v>14</v>
      </c>
      <c r="F595" s="4" t="s">
        <v>44</v>
      </c>
      <c r="G595" s="4" t="s">
        <v>20</v>
      </c>
      <c r="H595" s="10">
        <v>44906</v>
      </c>
      <c r="I595" s="4" t="s">
        <v>1212</v>
      </c>
      <c r="J595" s="4" t="s">
        <v>15</v>
      </c>
      <c r="K595" s="4" t="s">
        <v>235</v>
      </c>
      <c r="L595" s="4" t="s">
        <v>70</v>
      </c>
    </row>
    <row r="596" spans="1:12">
      <c r="A596" s="5" t="s">
        <v>1213</v>
      </c>
      <c r="B596" s="20">
        <v>5152</v>
      </c>
      <c r="C596" s="9">
        <v>2045</v>
      </c>
      <c r="D596" s="9">
        <v>14</v>
      </c>
      <c r="E596" s="9" t="s">
        <v>6</v>
      </c>
      <c r="F596" s="6" t="s">
        <v>21</v>
      </c>
      <c r="G596" s="6" t="s">
        <v>23</v>
      </c>
      <c r="H596" s="9" t="s">
        <v>1214</v>
      </c>
      <c r="I596" s="6" t="s">
        <v>1215</v>
      </c>
      <c r="J596" s="6" t="s">
        <v>15</v>
      </c>
      <c r="K596" s="6" t="s">
        <v>171</v>
      </c>
      <c r="L596" s="6" t="s">
        <v>45</v>
      </c>
    </row>
    <row r="597" spans="1:12">
      <c r="A597" s="3" t="s">
        <v>1213</v>
      </c>
      <c r="B597" s="19">
        <v>5152</v>
      </c>
      <c r="C597" s="8">
        <v>2045</v>
      </c>
      <c r="D597" s="8">
        <v>14</v>
      </c>
      <c r="E597" s="8" t="s">
        <v>6</v>
      </c>
      <c r="F597" s="4" t="s">
        <v>21</v>
      </c>
      <c r="G597" s="4" t="s">
        <v>23</v>
      </c>
      <c r="H597" s="8" t="s">
        <v>1216</v>
      </c>
      <c r="I597" s="4" t="s">
        <v>1217</v>
      </c>
      <c r="J597" s="4" t="s">
        <v>7</v>
      </c>
      <c r="K597" s="4" t="s">
        <v>205</v>
      </c>
      <c r="L597" s="4" t="s">
        <v>67</v>
      </c>
    </row>
    <row r="598" spans="1:12">
      <c r="A598" s="5" t="s">
        <v>1213</v>
      </c>
      <c r="B598" s="20">
        <v>5152</v>
      </c>
      <c r="C598" s="9">
        <v>2045</v>
      </c>
      <c r="D598" s="9">
        <v>14</v>
      </c>
      <c r="E598" s="9" t="s">
        <v>6</v>
      </c>
      <c r="F598" s="6" t="s">
        <v>21</v>
      </c>
      <c r="G598" s="6" t="s">
        <v>23</v>
      </c>
      <c r="H598" s="9" t="s">
        <v>1218</v>
      </c>
      <c r="I598" s="6" t="s">
        <v>1219</v>
      </c>
      <c r="J598" s="6" t="s">
        <v>15</v>
      </c>
      <c r="K598" s="6" t="s">
        <v>132</v>
      </c>
      <c r="L598" s="6" t="s">
        <v>79</v>
      </c>
    </row>
    <row r="599" spans="1:12">
      <c r="A599" s="3" t="s">
        <v>1213</v>
      </c>
      <c r="B599" s="19">
        <v>5152</v>
      </c>
      <c r="C599" s="8">
        <v>2045</v>
      </c>
      <c r="D599" s="8">
        <v>14</v>
      </c>
      <c r="E599" s="8" t="s">
        <v>6</v>
      </c>
      <c r="F599" s="4" t="s">
        <v>21</v>
      </c>
      <c r="G599" s="4" t="s">
        <v>23</v>
      </c>
      <c r="H599" s="10">
        <v>45240</v>
      </c>
      <c r="I599" s="4" t="s">
        <v>1220</v>
      </c>
      <c r="J599" s="4" t="s">
        <v>19</v>
      </c>
      <c r="K599" s="4" t="s">
        <v>108</v>
      </c>
      <c r="L599" s="4" t="s">
        <v>81</v>
      </c>
    </row>
    <row r="600" spans="1:12">
      <c r="A600" s="5" t="s">
        <v>1221</v>
      </c>
      <c r="B600" s="20">
        <v>5151</v>
      </c>
      <c r="C600" s="9">
        <v>1680</v>
      </c>
      <c r="D600" s="9">
        <v>5</v>
      </c>
      <c r="E600" s="9" t="s">
        <v>6</v>
      </c>
      <c r="F600" s="6" t="s">
        <v>24</v>
      </c>
      <c r="G600" s="6" t="s">
        <v>20</v>
      </c>
      <c r="H600" s="9" t="s">
        <v>1054</v>
      </c>
      <c r="I600" s="6" t="s">
        <v>1222</v>
      </c>
      <c r="J600" s="6" t="s">
        <v>25</v>
      </c>
      <c r="K600" s="6" t="s">
        <v>253</v>
      </c>
      <c r="L600" s="6" t="s">
        <v>69</v>
      </c>
    </row>
    <row r="601" spans="1:12">
      <c r="A601" s="5" t="s">
        <v>1223</v>
      </c>
      <c r="B601" s="20">
        <v>5142</v>
      </c>
      <c r="C601" s="9">
        <v>1916</v>
      </c>
      <c r="D601" s="9">
        <v>20</v>
      </c>
      <c r="E601" s="9" t="s">
        <v>14</v>
      </c>
      <c r="F601" s="6" t="s">
        <v>42</v>
      </c>
      <c r="G601" s="6" t="s">
        <v>20</v>
      </c>
      <c r="H601" s="9" t="s">
        <v>984</v>
      </c>
      <c r="I601" s="6" t="s">
        <v>1224</v>
      </c>
      <c r="J601" s="6" t="s">
        <v>15</v>
      </c>
      <c r="K601" s="6" t="s">
        <v>132</v>
      </c>
      <c r="L601" s="6" t="s">
        <v>67</v>
      </c>
    </row>
    <row r="602" spans="1:12">
      <c r="A602" s="5" t="s">
        <v>687</v>
      </c>
      <c r="B602" s="20">
        <v>5122</v>
      </c>
      <c r="C602" s="9">
        <v>2413</v>
      </c>
      <c r="D602" s="9">
        <v>12</v>
      </c>
      <c r="E602" s="9" t="s">
        <v>6</v>
      </c>
      <c r="F602" s="6" t="s">
        <v>13</v>
      </c>
      <c r="G602" s="6" t="s">
        <v>8</v>
      </c>
      <c r="H602" s="11">
        <v>45451</v>
      </c>
      <c r="I602" s="6" t="s">
        <v>688</v>
      </c>
      <c r="J602" s="6" t="s">
        <v>7</v>
      </c>
      <c r="K602" s="6" t="s">
        <v>124</v>
      </c>
      <c r="L602" s="6" t="s">
        <v>91</v>
      </c>
    </row>
    <row r="603" spans="1:12">
      <c r="A603" s="5" t="s">
        <v>856</v>
      </c>
      <c r="B603" s="20">
        <v>5105</v>
      </c>
      <c r="C603" s="9">
        <v>465</v>
      </c>
      <c r="D603" s="9">
        <v>5</v>
      </c>
      <c r="E603" s="9" t="s">
        <v>6</v>
      </c>
      <c r="F603" s="6" t="s">
        <v>24</v>
      </c>
      <c r="G603" s="6" t="s">
        <v>23</v>
      </c>
      <c r="H603" s="11">
        <v>44541</v>
      </c>
      <c r="I603" s="6" t="s">
        <v>857</v>
      </c>
      <c r="J603" s="6" t="s">
        <v>11</v>
      </c>
      <c r="K603" s="6" t="s">
        <v>120</v>
      </c>
      <c r="L603" s="6" t="s">
        <v>58</v>
      </c>
    </row>
    <row r="604" spans="1:12">
      <c r="A604" s="5" t="s">
        <v>1225</v>
      </c>
      <c r="B604" s="20">
        <v>5047</v>
      </c>
      <c r="C604" s="9">
        <v>2211</v>
      </c>
      <c r="D604" s="9">
        <v>13</v>
      </c>
      <c r="E604" s="9" t="s">
        <v>10</v>
      </c>
      <c r="F604" s="6" t="s">
        <v>32</v>
      </c>
      <c r="G604" s="6" t="s">
        <v>20</v>
      </c>
      <c r="H604" s="9" t="s">
        <v>1226</v>
      </c>
      <c r="I604" s="6" t="s">
        <v>1227</v>
      </c>
      <c r="J604" s="6" t="s">
        <v>7</v>
      </c>
      <c r="K604" s="6" t="s">
        <v>124</v>
      </c>
      <c r="L604" s="6" t="s">
        <v>79</v>
      </c>
    </row>
    <row r="605" spans="1:12">
      <c r="A605" s="3" t="s">
        <v>1225</v>
      </c>
      <c r="B605" s="19">
        <v>5047</v>
      </c>
      <c r="C605" s="8">
        <v>2211</v>
      </c>
      <c r="D605" s="8">
        <v>13</v>
      </c>
      <c r="E605" s="8" t="s">
        <v>10</v>
      </c>
      <c r="F605" s="4" t="s">
        <v>32</v>
      </c>
      <c r="G605" s="4" t="s">
        <v>20</v>
      </c>
      <c r="H605" s="10">
        <v>44288</v>
      </c>
      <c r="I605" s="4" t="s">
        <v>1228</v>
      </c>
      <c r="J605" s="4" t="s">
        <v>15</v>
      </c>
      <c r="K605" s="4" t="s">
        <v>132</v>
      </c>
      <c r="L605" s="4" t="s">
        <v>49</v>
      </c>
    </row>
    <row r="606" spans="1:12">
      <c r="A606" s="5" t="s">
        <v>1225</v>
      </c>
      <c r="B606" s="20">
        <v>5047</v>
      </c>
      <c r="C606" s="9">
        <v>2211</v>
      </c>
      <c r="D606" s="9">
        <v>13</v>
      </c>
      <c r="E606" s="9" t="s">
        <v>10</v>
      </c>
      <c r="F606" s="6" t="s">
        <v>32</v>
      </c>
      <c r="G606" s="6" t="s">
        <v>20</v>
      </c>
      <c r="H606" s="9" t="s">
        <v>529</v>
      </c>
      <c r="I606" s="6" t="s">
        <v>1229</v>
      </c>
      <c r="J606" s="6" t="s">
        <v>15</v>
      </c>
      <c r="K606" s="6" t="s">
        <v>235</v>
      </c>
      <c r="L606" s="6" t="s">
        <v>68</v>
      </c>
    </row>
    <row r="607" spans="1:12">
      <c r="A607" s="3" t="s">
        <v>1225</v>
      </c>
      <c r="B607" s="19">
        <v>5047</v>
      </c>
      <c r="C607" s="8">
        <v>2211</v>
      </c>
      <c r="D607" s="8">
        <v>13</v>
      </c>
      <c r="E607" s="8" t="s">
        <v>10</v>
      </c>
      <c r="F607" s="4" t="s">
        <v>32</v>
      </c>
      <c r="G607" s="4" t="s">
        <v>20</v>
      </c>
      <c r="H607" s="10">
        <v>44717</v>
      </c>
      <c r="I607" s="4" t="s">
        <v>1230</v>
      </c>
      <c r="J607" s="4" t="s">
        <v>19</v>
      </c>
      <c r="K607" s="4" t="s">
        <v>126</v>
      </c>
      <c r="L607" s="4" t="s">
        <v>64</v>
      </c>
    </row>
    <row r="608" spans="1:12">
      <c r="A608" s="5" t="s">
        <v>163</v>
      </c>
      <c r="B608" s="20">
        <v>5035</v>
      </c>
      <c r="C608" s="9">
        <v>2008</v>
      </c>
      <c r="D608" s="9">
        <v>2</v>
      </c>
      <c r="E608" s="9" t="s">
        <v>10</v>
      </c>
      <c r="F608" s="6" t="s">
        <v>30</v>
      </c>
      <c r="G608" s="6" t="s">
        <v>8</v>
      </c>
      <c r="H608" s="11">
        <v>43925</v>
      </c>
      <c r="I608" s="6" t="s">
        <v>164</v>
      </c>
      <c r="J608" s="6" t="s">
        <v>11</v>
      </c>
      <c r="K608" s="6" t="s">
        <v>156</v>
      </c>
      <c r="L608" s="6" t="s">
        <v>31</v>
      </c>
    </row>
    <row r="609" spans="1:12">
      <c r="A609" s="5" t="s">
        <v>886</v>
      </c>
      <c r="B609" s="20">
        <v>5031</v>
      </c>
      <c r="C609" s="9">
        <v>714</v>
      </c>
      <c r="D609" s="9">
        <v>4</v>
      </c>
      <c r="E609" s="9" t="s">
        <v>10</v>
      </c>
      <c r="F609" s="6" t="s">
        <v>34</v>
      </c>
      <c r="G609" s="6" t="s">
        <v>12</v>
      </c>
      <c r="H609" s="11">
        <v>45632</v>
      </c>
      <c r="I609" s="6" t="s">
        <v>887</v>
      </c>
      <c r="J609" s="6" t="s">
        <v>7</v>
      </c>
      <c r="K609" s="6" t="s">
        <v>124</v>
      </c>
      <c r="L609" s="6" t="s">
        <v>89</v>
      </c>
    </row>
    <row r="610" spans="1:12">
      <c r="A610" s="3" t="s">
        <v>1231</v>
      </c>
      <c r="B610" s="19">
        <v>5028</v>
      </c>
      <c r="C610" s="8">
        <v>1553</v>
      </c>
      <c r="D610" s="8">
        <v>13</v>
      </c>
      <c r="E610" s="8" t="s">
        <v>14</v>
      </c>
      <c r="F610" s="4" t="s">
        <v>42</v>
      </c>
      <c r="G610" s="4" t="s">
        <v>20</v>
      </c>
      <c r="H610" s="10">
        <v>43926</v>
      </c>
      <c r="I610" s="4" t="s">
        <v>1232</v>
      </c>
      <c r="J610" s="4" t="s">
        <v>11</v>
      </c>
      <c r="K610" s="4" t="s">
        <v>136</v>
      </c>
      <c r="L610" s="4" t="s">
        <v>33</v>
      </c>
    </row>
    <row r="611" spans="1:12">
      <c r="A611" s="3" t="s">
        <v>1233</v>
      </c>
      <c r="B611" s="19">
        <v>5024</v>
      </c>
      <c r="C611" s="8">
        <v>1544</v>
      </c>
      <c r="D611" s="8">
        <v>19</v>
      </c>
      <c r="E611" s="8" t="s">
        <v>14</v>
      </c>
      <c r="F611" s="4" t="s">
        <v>44</v>
      </c>
      <c r="G611" s="4" t="s">
        <v>8</v>
      </c>
      <c r="H611" s="10">
        <v>44693</v>
      </c>
      <c r="I611" s="4" t="s">
        <v>1234</v>
      </c>
      <c r="J611" s="4" t="s">
        <v>11</v>
      </c>
      <c r="K611" s="4" t="s">
        <v>156</v>
      </c>
      <c r="L611" s="4" t="s">
        <v>71</v>
      </c>
    </row>
    <row r="612" spans="1:12">
      <c r="A612" s="3" t="s">
        <v>1235</v>
      </c>
      <c r="B612" s="19">
        <v>5024</v>
      </c>
      <c r="C612" s="8">
        <v>379</v>
      </c>
      <c r="D612" s="8">
        <v>2</v>
      </c>
      <c r="E612" s="8" t="s">
        <v>14</v>
      </c>
      <c r="F612" s="4" t="s">
        <v>42</v>
      </c>
      <c r="G612" s="4" t="s">
        <v>23</v>
      </c>
      <c r="H612" s="10">
        <v>45326</v>
      </c>
      <c r="I612" s="4" t="s">
        <v>1236</v>
      </c>
      <c r="J612" s="4" t="s">
        <v>25</v>
      </c>
      <c r="K612" s="4" t="s">
        <v>129</v>
      </c>
      <c r="L612" s="4" t="s">
        <v>87</v>
      </c>
    </row>
    <row r="613" spans="1:12">
      <c r="A613" s="5" t="s">
        <v>1235</v>
      </c>
      <c r="B613" s="20">
        <v>5024</v>
      </c>
      <c r="C613" s="9">
        <v>379</v>
      </c>
      <c r="D613" s="9">
        <v>2</v>
      </c>
      <c r="E613" s="9" t="s">
        <v>14</v>
      </c>
      <c r="F613" s="6" t="s">
        <v>42</v>
      </c>
      <c r="G613" s="6" t="s">
        <v>23</v>
      </c>
      <c r="H613" s="11">
        <v>44632</v>
      </c>
      <c r="I613" s="6" t="s">
        <v>1237</v>
      </c>
      <c r="J613" s="6" t="s">
        <v>15</v>
      </c>
      <c r="K613" s="6" t="s">
        <v>235</v>
      </c>
      <c r="L613" s="6" t="s">
        <v>71</v>
      </c>
    </row>
    <row r="614" spans="1:12">
      <c r="A614" s="5" t="s">
        <v>1238</v>
      </c>
      <c r="B614" s="20">
        <v>5014</v>
      </c>
      <c r="C614" s="9">
        <v>2332</v>
      </c>
      <c r="D614" s="9">
        <v>2</v>
      </c>
      <c r="E614" s="9" t="s">
        <v>10</v>
      </c>
      <c r="F614" s="6" t="s">
        <v>30</v>
      </c>
      <c r="G614" s="6" t="s">
        <v>8</v>
      </c>
      <c r="H614" s="11">
        <v>44115</v>
      </c>
      <c r="I614" s="6" t="s">
        <v>1239</v>
      </c>
      <c r="J614" s="6" t="s">
        <v>15</v>
      </c>
      <c r="K614" s="6" t="s">
        <v>132</v>
      </c>
      <c r="L614" s="6" t="s">
        <v>45</v>
      </c>
    </row>
    <row r="615" spans="1:12">
      <c r="A615" s="5" t="s">
        <v>1240</v>
      </c>
      <c r="B615" s="20">
        <v>5011</v>
      </c>
      <c r="C615" s="9">
        <v>866</v>
      </c>
      <c r="D615" s="9">
        <v>11</v>
      </c>
      <c r="E615" s="9" t="s">
        <v>10</v>
      </c>
      <c r="F615" s="6" t="s">
        <v>28</v>
      </c>
      <c r="G615" s="6" t="s">
        <v>12</v>
      </c>
      <c r="H615" s="11">
        <v>44992</v>
      </c>
      <c r="I615" s="6" t="s">
        <v>1241</v>
      </c>
      <c r="J615" s="6" t="s">
        <v>7</v>
      </c>
      <c r="K615" s="6" t="s">
        <v>162</v>
      </c>
      <c r="L615" s="6" t="s">
        <v>78</v>
      </c>
    </row>
    <row r="616" spans="1:12">
      <c r="A616" s="3" t="s">
        <v>1240</v>
      </c>
      <c r="B616" s="19">
        <v>5011</v>
      </c>
      <c r="C616" s="8">
        <v>866</v>
      </c>
      <c r="D616" s="8">
        <v>11</v>
      </c>
      <c r="E616" s="8" t="s">
        <v>10</v>
      </c>
      <c r="F616" s="4" t="s">
        <v>28</v>
      </c>
      <c r="G616" s="4" t="s">
        <v>12</v>
      </c>
      <c r="H616" s="10">
        <v>44413</v>
      </c>
      <c r="I616" s="4" t="s">
        <v>1242</v>
      </c>
      <c r="J616" s="4" t="s">
        <v>22</v>
      </c>
      <c r="K616" s="4" t="s">
        <v>223</v>
      </c>
      <c r="L616" s="4" t="s">
        <v>52</v>
      </c>
    </row>
    <row r="617" spans="1:12">
      <c r="A617" s="5" t="s">
        <v>777</v>
      </c>
      <c r="B617" s="20">
        <v>5002</v>
      </c>
      <c r="C617" s="9">
        <v>1801</v>
      </c>
      <c r="D617" s="9">
        <v>11</v>
      </c>
      <c r="E617" s="9" t="s">
        <v>14</v>
      </c>
      <c r="F617" s="6" t="s">
        <v>40</v>
      </c>
      <c r="G617" s="6" t="s">
        <v>12</v>
      </c>
      <c r="H617" s="9" t="s">
        <v>778</v>
      </c>
      <c r="I617" s="6" t="s">
        <v>779</v>
      </c>
      <c r="J617" s="6" t="s">
        <v>25</v>
      </c>
      <c r="K617" s="6" t="s">
        <v>253</v>
      </c>
      <c r="L617" s="6" t="s">
        <v>78</v>
      </c>
    </row>
    <row r="618" spans="1:12">
      <c r="A618" s="3" t="s">
        <v>891</v>
      </c>
      <c r="B618" s="19">
        <v>4985</v>
      </c>
      <c r="C618" s="8">
        <v>1920</v>
      </c>
      <c r="D618" s="8">
        <v>10</v>
      </c>
      <c r="E618" s="8" t="s">
        <v>10</v>
      </c>
      <c r="F618" s="4" t="s">
        <v>28</v>
      </c>
      <c r="G618" s="4" t="s">
        <v>12</v>
      </c>
      <c r="H618" s="10">
        <v>44718</v>
      </c>
      <c r="I618" s="4" t="s">
        <v>892</v>
      </c>
      <c r="J618" s="4" t="s">
        <v>15</v>
      </c>
      <c r="K618" s="4" t="s">
        <v>171</v>
      </c>
      <c r="L618" s="4" t="s">
        <v>65</v>
      </c>
    </row>
    <row r="619" spans="1:12">
      <c r="A619" s="5" t="s">
        <v>891</v>
      </c>
      <c r="B619" s="20">
        <v>4985</v>
      </c>
      <c r="C619" s="9">
        <v>1920</v>
      </c>
      <c r="D619" s="9">
        <v>10</v>
      </c>
      <c r="E619" s="9" t="s">
        <v>10</v>
      </c>
      <c r="F619" s="6" t="s">
        <v>28</v>
      </c>
      <c r="G619" s="6" t="s">
        <v>12</v>
      </c>
      <c r="H619" s="9" t="s">
        <v>893</v>
      </c>
      <c r="I619" s="6" t="s">
        <v>894</v>
      </c>
      <c r="J619" s="6" t="s">
        <v>15</v>
      </c>
      <c r="K619" s="6" t="s">
        <v>132</v>
      </c>
      <c r="L619" s="6" t="s">
        <v>58</v>
      </c>
    </row>
    <row r="620" spans="1:12">
      <c r="A620" s="5" t="s">
        <v>241</v>
      </c>
      <c r="B620" s="20">
        <v>4975</v>
      </c>
      <c r="C620" s="9">
        <v>1330</v>
      </c>
      <c r="D620" s="9">
        <v>14</v>
      </c>
      <c r="E620" s="9" t="s">
        <v>6</v>
      </c>
      <c r="F620" s="6" t="s">
        <v>24</v>
      </c>
      <c r="G620" s="6" t="s">
        <v>23</v>
      </c>
      <c r="H620" s="9" t="s">
        <v>242</v>
      </c>
      <c r="I620" s="6" t="s">
        <v>243</v>
      </c>
      <c r="J620" s="6" t="s">
        <v>11</v>
      </c>
      <c r="K620" s="6" t="s">
        <v>156</v>
      </c>
      <c r="L620" s="6" t="s">
        <v>77</v>
      </c>
    </row>
    <row r="621" spans="1:12">
      <c r="A621" s="3" t="s">
        <v>241</v>
      </c>
      <c r="B621" s="19">
        <v>4975</v>
      </c>
      <c r="C621" s="8">
        <v>1330</v>
      </c>
      <c r="D621" s="8">
        <v>14</v>
      </c>
      <c r="E621" s="8" t="s">
        <v>6</v>
      </c>
      <c r="F621" s="4" t="s">
        <v>24</v>
      </c>
      <c r="G621" s="4" t="s">
        <v>23</v>
      </c>
      <c r="H621" s="8" t="s">
        <v>244</v>
      </c>
      <c r="I621" s="4" t="s">
        <v>245</v>
      </c>
      <c r="J621" s="4" t="s">
        <v>15</v>
      </c>
      <c r="K621" s="4" t="s">
        <v>132</v>
      </c>
      <c r="L621" s="4" t="s">
        <v>95</v>
      </c>
    </row>
    <row r="622" spans="1:12">
      <c r="A622" s="5" t="s">
        <v>241</v>
      </c>
      <c r="B622" s="20">
        <v>4975</v>
      </c>
      <c r="C622" s="9">
        <v>1330</v>
      </c>
      <c r="D622" s="9">
        <v>14</v>
      </c>
      <c r="E622" s="9" t="s">
        <v>6</v>
      </c>
      <c r="F622" s="6" t="s">
        <v>24</v>
      </c>
      <c r="G622" s="6" t="s">
        <v>23</v>
      </c>
      <c r="H622" s="9" t="s">
        <v>246</v>
      </c>
      <c r="I622" s="6" t="s">
        <v>247</v>
      </c>
      <c r="J622" s="6" t="s">
        <v>19</v>
      </c>
      <c r="K622" s="6" t="s">
        <v>126</v>
      </c>
      <c r="L622" s="6" t="s">
        <v>54</v>
      </c>
    </row>
    <row r="623" spans="1:12">
      <c r="A623" s="5" t="s">
        <v>227</v>
      </c>
      <c r="B623" s="20">
        <v>4968</v>
      </c>
      <c r="C623" s="9">
        <v>934</v>
      </c>
      <c r="D623" s="9">
        <v>5</v>
      </c>
      <c r="E623" s="9" t="s">
        <v>10</v>
      </c>
      <c r="F623" s="6" t="s">
        <v>32</v>
      </c>
      <c r="G623" s="6" t="s">
        <v>16</v>
      </c>
      <c r="H623" s="9" t="s">
        <v>228</v>
      </c>
      <c r="I623" s="6" t="s">
        <v>229</v>
      </c>
      <c r="J623" s="6" t="s">
        <v>25</v>
      </c>
      <c r="K623" s="6" t="s">
        <v>129</v>
      </c>
      <c r="L623" s="6" t="s">
        <v>58</v>
      </c>
    </row>
    <row r="624" spans="1:12">
      <c r="A624" s="5" t="s">
        <v>550</v>
      </c>
      <c r="B624" s="20">
        <v>4963</v>
      </c>
      <c r="C624" s="9">
        <v>1254</v>
      </c>
      <c r="D624" s="9">
        <v>15</v>
      </c>
      <c r="E624" s="9" t="s">
        <v>14</v>
      </c>
      <c r="F624" s="6" t="s">
        <v>42</v>
      </c>
      <c r="G624" s="6" t="s">
        <v>20</v>
      </c>
      <c r="H624" s="11">
        <v>45514</v>
      </c>
      <c r="I624" s="6" t="s">
        <v>551</v>
      </c>
      <c r="J624" s="6" t="s">
        <v>22</v>
      </c>
      <c r="K624" s="6" t="s">
        <v>179</v>
      </c>
      <c r="L624" s="6" t="s">
        <v>93</v>
      </c>
    </row>
    <row r="625" spans="1:12">
      <c r="A625" s="3" t="s">
        <v>1243</v>
      </c>
      <c r="B625" s="19">
        <v>4957</v>
      </c>
      <c r="C625" s="8">
        <v>1152</v>
      </c>
      <c r="D625" s="8">
        <v>8</v>
      </c>
      <c r="E625" s="8" t="s">
        <v>14</v>
      </c>
      <c r="F625" s="4" t="s">
        <v>40</v>
      </c>
      <c r="G625" s="4" t="s">
        <v>12</v>
      </c>
      <c r="H625" s="8" t="s">
        <v>1244</v>
      </c>
      <c r="I625" s="4" t="s">
        <v>1245</v>
      </c>
      <c r="J625" s="4" t="s">
        <v>22</v>
      </c>
      <c r="K625" s="4" t="s">
        <v>117</v>
      </c>
      <c r="L625" s="4" t="s">
        <v>62</v>
      </c>
    </row>
    <row r="626" spans="1:12">
      <c r="A626" s="3" t="s">
        <v>251</v>
      </c>
      <c r="B626" s="19">
        <v>4948</v>
      </c>
      <c r="C626" s="8">
        <v>2356</v>
      </c>
      <c r="D626" s="8">
        <v>18</v>
      </c>
      <c r="E626" s="8" t="s">
        <v>6</v>
      </c>
      <c r="F626" s="4" t="s">
        <v>24</v>
      </c>
      <c r="G626" s="4" t="s">
        <v>16</v>
      </c>
      <c r="H626" s="10">
        <v>44350</v>
      </c>
      <c r="I626" s="4" t="s">
        <v>252</v>
      </c>
      <c r="J626" s="4" t="s">
        <v>25</v>
      </c>
      <c r="K626" s="4" t="s">
        <v>253</v>
      </c>
      <c r="L626" s="4" t="s">
        <v>50</v>
      </c>
    </row>
    <row r="627" spans="1:12">
      <c r="A627" s="5" t="s">
        <v>319</v>
      </c>
      <c r="B627" s="20">
        <v>4936</v>
      </c>
      <c r="C627" s="9">
        <v>576</v>
      </c>
      <c r="D627" s="9">
        <v>19</v>
      </c>
      <c r="E627" s="9" t="s">
        <v>10</v>
      </c>
      <c r="F627" s="6" t="s">
        <v>34</v>
      </c>
      <c r="G627" s="6" t="s">
        <v>8</v>
      </c>
      <c r="H627" s="9" t="s">
        <v>320</v>
      </c>
      <c r="I627" s="6" t="s">
        <v>321</v>
      </c>
      <c r="J627" s="6" t="s">
        <v>15</v>
      </c>
      <c r="K627" s="6" t="s">
        <v>132</v>
      </c>
      <c r="L627" s="6" t="s">
        <v>78</v>
      </c>
    </row>
    <row r="628" spans="1:12">
      <c r="A628" s="3" t="s">
        <v>319</v>
      </c>
      <c r="B628" s="19">
        <v>4936</v>
      </c>
      <c r="C628" s="8">
        <v>576</v>
      </c>
      <c r="D628" s="8">
        <v>19</v>
      </c>
      <c r="E628" s="8" t="s">
        <v>10</v>
      </c>
      <c r="F628" s="4" t="s">
        <v>34</v>
      </c>
      <c r="G628" s="4" t="s">
        <v>8</v>
      </c>
      <c r="H628" s="8" t="s">
        <v>313</v>
      </c>
      <c r="I628" s="4" t="s">
        <v>322</v>
      </c>
      <c r="J628" s="4" t="s">
        <v>19</v>
      </c>
      <c r="K628" s="4" t="s">
        <v>108</v>
      </c>
      <c r="L628" s="4" t="s">
        <v>64</v>
      </c>
    </row>
    <row r="629" spans="1:12">
      <c r="A629" s="3" t="s">
        <v>1246</v>
      </c>
      <c r="B629" s="19">
        <v>4932</v>
      </c>
      <c r="C629" s="8">
        <v>1153</v>
      </c>
      <c r="D629" s="8">
        <v>1</v>
      </c>
      <c r="E629" s="8" t="s">
        <v>14</v>
      </c>
      <c r="F629" s="4" t="s">
        <v>40</v>
      </c>
      <c r="G629" s="4" t="s">
        <v>8</v>
      </c>
      <c r="H629" s="8" t="s">
        <v>1247</v>
      </c>
      <c r="I629" s="4" t="s">
        <v>1248</v>
      </c>
      <c r="J629" s="4" t="s">
        <v>11</v>
      </c>
      <c r="K629" s="4" t="s">
        <v>136</v>
      </c>
      <c r="L629" s="4" t="s">
        <v>90</v>
      </c>
    </row>
    <row r="630" spans="1:12">
      <c r="A630" s="5" t="s">
        <v>375</v>
      </c>
      <c r="B630" s="20">
        <v>4920</v>
      </c>
      <c r="C630" s="9">
        <v>775</v>
      </c>
      <c r="D630" s="9">
        <v>12</v>
      </c>
      <c r="E630" s="9" t="s">
        <v>10</v>
      </c>
      <c r="F630" s="6" t="s">
        <v>34</v>
      </c>
      <c r="G630" s="6" t="s">
        <v>16</v>
      </c>
      <c r="H630" s="11">
        <v>44538</v>
      </c>
      <c r="I630" s="6" t="s">
        <v>376</v>
      </c>
      <c r="J630" s="6" t="s">
        <v>15</v>
      </c>
      <c r="K630" s="6" t="s">
        <v>171</v>
      </c>
      <c r="L630" s="6" t="s">
        <v>55</v>
      </c>
    </row>
    <row r="631" spans="1:12">
      <c r="A631" s="5" t="s">
        <v>1249</v>
      </c>
      <c r="B631" s="20">
        <v>4918</v>
      </c>
      <c r="C631" s="9">
        <v>1485</v>
      </c>
      <c r="D631" s="9">
        <v>7</v>
      </c>
      <c r="E631" s="9" t="s">
        <v>6</v>
      </c>
      <c r="F631" s="6" t="s">
        <v>21</v>
      </c>
      <c r="G631" s="6" t="s">
        <v>23</v>
      </c>
      <c r="H631" s="11">
        <v>44959</v>
      </c>
      <c r="I631" s="6" t="s">
        <v>1250</v>
      </c>
      <c r="J631" s="6" t="s">
        <v>11</v>
      </c>
      <c r="K631" s="6" t="s">
        <v>136</v>
      </c>
      <c r="L631" s="6" t="s">
        <v>73</v>
      </c>
    </row>
    <row r="632" spans="1:12">
      <c r="A632" s="5" t="s">
        <v>1251</v>
      </c>
      <c r="B632" s="20">
        <v>4911</v>
      </c>
      <c r="C632" s="9">
        <v>186</v>
      </c>
      <c r="D632" s="9">
        <v>20</v>
      </c>
      <c r="E632" s="9" t="s">
        <v>6</v>
      </c>
      <c r="F632" s="6" t="s">
        <v>21</v>
      </c>
      <c r="G632" s="6" t="s">
        <v>16</v>
      </c>
      <c r="H632" s="9" t="s">
        <v>1252</v>
      </c>
      <c r="I632" s="6" t="s">
        <v>1253</v>
      </c>
      <c r="J632" s="6" t="s">
        <v>19</v>
      </c>
      <c r="K632" s="6" t="s">
        <v>126</v>
      </c>
      <c r="L632" s="6" t="s">
        <v>65</v>
      </c>
    </row>
    <row r="633" spans="1:12">
      <c r="A633" s="5" t="s">
        <v>1254</v>
      </c>
      <c r="B633" s="20">
        <v>4906</v>
      </c>
      <c r="C633" s="9">
        <v>975</v>
      </c>
      <c r="D633" s="9">
        <v>7</v>
      </c>
      <c r="E633" s="9" t="s">
        <v>10</v>
      </c>
      <c r="F633" s="6" t="s">
        <v>34</v>
      </c>
      <c r="G633" s="6" t="s">
        <v>16</v>
      </c>
      <c r="H633" s="9" t="s">
        <v>1255</v>
      </c>
      <c r="I633" s="6" t="s">
        <v>1256</v>
      </c>
      <c r="J633" s="6" t="s">
        <v>25</v>
      </c>
      <c r="K633" s="6" t="s">
        <v>253</v>
      </c>
      <c r="L633" s="6" t="s">
        <v>64</v>
      </c>
    </row>
    <row r="634" spans="1:12">
      <c r="A634" s="5" t="s">
        <v>1257</v>
      </c>
      <c r="B634" s="20">
        <v>4904</v>
      </c>
      <c r="C634" s="9">
        <v>469</v>
      </c>
      <c r="D634" s="9">
        <v>2</v>
      </c>
      <c r="E634" s="9" t="s">
        <v>14</v>
      </c>
      <c r="F634" s="6" t="s">
        <v>44</v>
      </c>
      <c r="G634" s="6" t="s">
        <v>16</v>
      </c>
      <c r="H634" s="9" t="s">
        <v>478</v>
      </c>
      <c r="I634" s="6" t="s">
        <v>1258</v>
      </c>
      <c r="J634" s="6" t="s">
        <v>25</v>
      </c>
      <c r="K634" s="6" t="s">
        <v>129</v>
      </c>
      <c r="L634" s="6" t="s">
        <v>31</v>
      </c>
    </row>
    <row r="635" spans="1:12">
      <c r="A635" s="3" t="s">
        <v>1259</v>
      </c>
      <c r="B635" s="19">
        <v>4897</v>
      </c>
      <c r="C635" s="8">
        <v>1001</v>
      </c>
      <c r="D635" s="8">
        <v>14</v>
      </c>
      <c r="E635" s="8" t="s">
        <v>10</v>
      </c>
      <c r="F635" s="4" t="s">
        <v>32</v>
      </c>
      <c r="G635" s="4" t="s">
        <v>16</v>
      </c>
      <c r="H635" s="10">
        <v>44389</v>
      </c>
      <c r="I635" s="4" t="s">
        <v>1260</v>
      </c>
      <c r="J635" s="4" t="s">
        <v>25</v>
      </c>
      <c r="K635" s="4" t="s">
        <v>253</v>
      </c>
      <c r="L635" s="4" t="s">
        <v>59</v>
      </c>
    </row>
    <row r="636" spans="1:12">
      <c r="A636" s="5" t="s">
        <v>1259</v>
      </c>
      <c r="B636" s="20">
        <v>4897</v>
      </c>
      <c r="C636" s="9">
        <v>1001</v>
      </c>
      <c r="D636" s="9">
        <v>14</v>
      </c>
      <c r="E636" s="9" t="s">
        <v>10</v>
      </c>
      <c r="F636" s="6" t="s">
        <v>32</v>
      </c>
      <c r="G636" s="6" t="s">
        <v>16</v>
      </c>
      <c r="H636" s="11">
        <v>45809</v>
      </c>
      <c r="I636" s="6" t="s">
        <v>1261</v>
      </c>
      <c r="J636" s="6" t="s">
        <v>22</v>
      </c>
      <c r="K636" s="6" t="s">
        <v>223</v>
      </c>
      <c r="L636" s="6" t="s">
        <v>96</v>
      </c>
    </row>
    <row r="637" spans="1:12">
      <c r="A637" s="5" t="s">
        <v>1211</v>
      </c>
      <c r="B637" s="20">
        <v>4863</v>
      </c>
      <c r="C637" s="9">
        <v>2394</v>
      </c>
      <c r="D637" s="9">
        <v>4</v>
      </c>
      <c r="E637" s="9" t="s">
        <v>10</v>
      </c>
      <c r="F637" s="6" t="s">
        <v>28</v>
      </c>
      <c r="G637" s="6" t="s">
        <v>20</v>
      </c>
      <c r="H637" s="11">
        <v>44906</v>
      </c>
      <c r="I637" s="6" t="s">
        <v>1212</v>
      </c>
      <c r="J637" s="6" t="s">
        <v>15</v>
      </c>
      <c r="K637" s="6" t="s">
        <v>235</v>
      </c>
      <c r="L637" s="6" t="s">
        <v>70</v>
      </c>
    </row>
    <row r="638" spans="1:12">
      <c r="A638" s="5" t="s">
        <v>1262</v>
      </c>
      <c r="B638" s="20">
        <v>4853</v>
      </c>
      <c r="C638" s="9">
        <v>1764</v>
      </c>
      <c r="D638" s="9">
        <v>9</v>
      </c>
      <c r="E638" s="9" t="s">
        <v>14</v>
      </c>
      <c r="F638" s="6" t="s">
        <v>44</v>
      </c>
      <c r="G638" s="6" t="s">
        <v>16</v>
      </c>
      <c r="H638" s="11">
        <v>44358</v>
      </c>
      <c r="I638" s="6" t="s">
        <v>1263</v>
      </c>
      <c r="J638" s="6" t="s">
        <v>11</v>
      </c>
      <c r="K638" s="6" t="s">
        <v>120</v>
      </c>
      <c r="L638" s="6" t="s">
        <v>58</v>
      </c>
    </row>
    <row r="639" spans="1:12">
      <c r="A639" s="3" t="s">
        <v>1262</v>
      </c>
      <c r="B639" s="19">
        <v>4853</v>
      </c>
      <c r="C639" s="8">
        <v>1764</v>
      </c>
      <c r="D639" s="8">
        <v>9</v>
      </c>
      <c r="E639" s="8" t="s">
        <v>14</v>
      </c>
      <c r="F639" s="4" t="s">
        <v>44</v>
      </c>
      <c r="G639" s="4" t="s">
        <v>16</v>
      </c>
      <c r="H639" s="8" t="s">
        <v>1264</v>
      </c>
      <c r="I639" s="4" t="s">
        <v>1265</v>
      </c>
      <c r="J639" s="4" t="s">
        <v>25</v>
      </c>
      <c r="K639" s="4" t="s">
        <v>253</v>
      </c>
      <c r="L639" s="4" t="s">
        <v>67</v>
      </c>
    </row>
    <row r="640" spans="1:12">
      <c r="A640" s="5" t="s">
        <v>1266</v>
      </c>
      <c r="B640" s="20">
        <v>4852</v>
      </c>
      <c r="C640" s="9">
        <v>218</v>
      </c>
      <c r="D640" s="9">
        <v>2</v>
      </c>
      <c r="E640" s="9" t="s">
        <v>10</v>
      </c>
      <c r="F640" s="6" t="s">
        <v>34</v>
      </c>
      <c r="G640" s="6" t="s">
        <v>20</v>
      </c>
      <c r="H640" s="9" t="s">
        <v>1267</v>
      </c>
      <c r="I640" s="6" t="s">
        <v>1268</v>
      </c>
      <c r="J640" s="6" t="s">
        <v>25</v>
      </c>
      <c r="K640" s="6" t="s">
        <v>129</v>
      </c>
      <c r="L640" s="6" t="s">
        <v>87</v>
      </c>
    </row>
    <row r="641" spans="1:12">
      <c r="A641" s="3" t="s">
        <v>1266</v>
      </c>
      <c r="B641" s="19">
        <v>4852</v>
      </c>
      <c r="C641" s="8">
        <v>218</v>
      </c>
      <c r="D641" s="8">
        <v>2</v>
      </c>
      <c r="E641" s="8" t="s">
        <v>10</v>
      </c>
      <c r="F641" s="4" t="s">
        <v>34</v>
      </c>
      <c r="G641" s="4" t="s">
        <v>20</v>
      </c>
      <c r="H641" s="8" t="s">
        <v>1269</v>
      </c>
      <c r="I641" s="4" t="s">
        <v>1270</v>
      </c>
      <c r="J641" s="4" t="s">
        <v>11</v>
      </c>
      <c r="K641" s="4" t="s">
        <v>136</v>
      </c>
      <c r="L641" s="4" t="s">
        <v>59</v>
      </c>
    </row>
    <row r="642" spans="1:12">
      <c r="A642" s="5" t="s">
        <v>1266</v>
      </c>
      <c r="B642" s="20">
        <v>4852</v>
      </c>
      <c r="C642" s="9">
        <v>218</v>
      </c>
      <c r="D642" s="9">
        <v>2</v>
      </c>
      <c r="E642" s="9" t="s">
        <v>10</v>
      </c>
      <c r="F642" s="6" t="s">
        <v>34</v>
      </c>
      <c r="G642" s="6" t="s">
        <v>20</v>
      </c>
      <c r="H642" s="11">
        <v>45116</v>
      </c>
      <c r="I642" s="6" t="s">
        <v>1271</v>
      </c>
      <c r="J642" s="6" t="s">
        <v>15</v>
      </c>
      <c r="K642" s="6" t="s">
        <v>171</v>
      </c>
      <c r="L642" s="6" t="s">
        <v>80</v>
      </c>
    </row>
    <row r="643" spans="1:12">
      <c r="A643" s="3" t="s">
        <v>390</v>
      </c>
      <c r="B643" s="19">
        <v>4826</v>
      </c>
      <c r="C643" s="8">
        <v>562</v>
      </c>
      <c r="D643" s="8">
        <v>5</v>
      </c>
      <c r="E643" s="8" t="s">
        <v>14</v>
      </c>
      <c r="F643" s="4" t="s">
        <v>42</v>
      </c>
      <c r="G643" s="4" t="s">
        <v>16</v>
      </c>
      <c r="H643" s="10">
        <v>44382</v>
      </c>
      <c r="I643" s="4" t="s">
        <v>391</v>
      </c>
      <c r="J643" s="4" t="s">
        <v>19</v>
      </c>
      <c r="K643" s="4" t="s">
        <v>210</v>
      </c>
      <c r="L643" s="4" t="s">
        <v>52</v>
      </c>
    </row>
    <row r="644" spans="1:12">
      <c r="A644" s="5" t="s">
        <v>1272</v>
      </c>
      <c r="B644" s="20">
        <v>4761</v>
      </c>
      <c r="C644" s="9">
        <v>2231</v>
      </c>
      <c r="D644" s="9">
        <v>12</v>
      </c>
      <c r="E644" s="9" t="s">
        <v>10</v>
      </c>
      <c r="F644" s="6" t="s">
        <v>34</v>
      </c>
      <c r="G644" s="6" t="s">
        <v>23</v>
      </c>
      <c r="H644" s="11">
        <v>44047</v>
      </c>
      <c r="I644" s="6" t="s">
        <v>1273</v>
      </c>
      <c r="J644" s="6" t="s">
        <v>11</v>
      </c>
      <c r="K644" s="6" t="s">
        <v>120</v>
      </c>
      <c r="L644" s="6" t="s">
        <v>31</v>
      </c>
    </row>
    <row r="645" spans="1:12">
      <c r="A645" s="3" t="s">
        <v>1274</v>
      </c>
      <c r="B645" s="19">
        <v>4751</v>
      </c>
      <c r="C645" s="8">
        <v>781</v>
      </c>
      <c r="D645" s="8">
        <v>9</v>
      </c>
      <c r="E645" s="8" t="s">
        <v>14</v>
      </c>
      <c r="F645" s="4" t="s">
        <v>42</v>
      </c>
      <c r="G645" s="4" t="s">
        <v>20</v>
      </c>
      <c r="H645" s="10">
        <v>44964</v>
      </c>
      <c r="I645" s="4" t="s">
        <v>1275</v>
      </c>
      <c r="J645" s="4" t="s">
        <v>19</v>
      </c>
      <c r="K645" s="4" t="s">
        <v>126</v>
      </c>
      <c r="L645" s="4" t="s">
        <v>78</v>
      </c>
    </row>
    <row r="646" spans="1:12">
      <c r="A646" s="3" t="s">
        <v>748</v>
      </c>
      <c r="B646" s="19">
        <v>4734</v>
      </c>
      <c r="C646" s="8">
        <v>1178</v>
      </c>
      <c r="D646" s="8">
        <v>16</v>
      </c>
      <c r="E646" s="8" t="s">
        <v>14</v>
      </c>
      <c r="F646" s="4" t="s">
        <v>38</v>
      </c>
      <c r="G646" s="4" t="s">
        <v>12</v>
      </c>
      <c r="H646" s="8" t="s">
        <v>749</v>
      </c>
      <c r="I646" s="4" t="s">
        <v>750</v>
      </c>
      <c r="J646" s="4" t="s">
        <v>7</v>
      </c>
      <c r="K646" s="4" t="s">
        <v>162</v>
      </c>
      <c r="L646" s="4" t="s">
        <v>78</v>
      </c>
    </row>
    <row r="647" spans="1:12">
      <c r="A647" s="5" t="s">
        <v>1276</v>
      </c>
      <c r="B647" s="20">
        <v>4734</v>
      </c>
      <c r="C647" s="9">
        <v>958</v>
      </c>
      <c r="D647" s="9">
        <v>7</v>
      </c>
      <c r="E647" s="9" t="s">
        <v>6</v>
      </c>
      <c r="F647" s="6" t="s">
        <v>24</v>
      </c>
      <c r="G647" s="6" t="s">
        <v>16</v>
      </c>
      <c r="H647" s="9" t="s">
        <v>1277</v>
      </c>
      <c r="I647" s="6" t="s">
        <v>1278</v>
      </c>
      <c r="J647" s="6" t="s">
        <v>11</v>
      </c>
      <c r="K647" s="6" t="s">
        <v>120</v>
      </c>
      <c r="L647" s="6" t="s">
        <v>78</v>
      </c>
    </row>
    <row r="648" spans="1:12">
      <c r="A648" s="3" t="s">
        <v>474</v>
      </c>
      <c r="B648" s="19">
        <v>4708</v>
      </c>
      <c r="C648" s="8">
        <v>696</v>
      </c>
      <c r="D648" s="8">
        <v>14</v>
      </c>
      <c r="E648" s="8" t="s">
        <v>6</v>
      </c>
      <c r="F648" s="4" t="s">
        <v>13</v>
      </c>
      <c r="G648" s="4" t="s">
        <v>12</v>
      </c>
      <c r="H648" s="8" t="s">
        <v>475</v>
      </c>
      <c r="I648" s="4" t="s">
        <v>476</v>
      </c>
      <c r="J648" s="4" t="s">
        <v>15</v>
      </c>
      <c r="K648" s="4" t="s">
        <v>132</v>
      </c>
      <c r="L648" s="4" t="s">
        <v>65</v>
      </c>
    </row>
    <row r="649" spans="1:12">
      <c r="A649" s="5" t="s">
        <v>918</v>
      </c>
      <c r="B649" s="20">
        <v>4706</v>
      </c>
      <c r="C649" s="9">
        <v>594</v>
      </c>
      <c r="D649" s="9">
        <v>11</v>
      </c>
      <c r="E649" s="9" t="s">
        <v>14</v>
      </c>
      <c r="F649" s="6" t="s">
        <v>38</v>
      </c>
      <c r="G649" s="6" t="s">
        <v>8</v>
      </c>
      <c r="H649" s="9" t="s">
        <v>919</v>
      </c>
      <c r="I649" s="6" t="s">
        <v>920</v>
      </c>
      <c r="J649" s="6" t="s">
        <v>22</v>
      </c>
      <c r="K649" s="6" t="s">
        <v>117</v>
      </c>
      <c r="L649" s="6" t="s">
        <v>55</v>
      </c>
    </row>
    <row r="650" spans="1:12">
      <c r="A650" s="3" t="s">
        <v>918</v>
      </c>
      <c r="B650" s="19">
        <v>4706</v>
      </c>
      <c r="C650" s="8">
        <v>594</v>
      </c>
      <c r="D650" s="8">
        <v>11</v>
      </c>
      <c r="E650" s="8" t="s">
        <v>14</v>
      </c>
      <c r="F650" s="4" t="s">
        <v>38</v>
      </c>
      <c r="G650" s="4" t="s">
        <v>8</v>
      </c>
      <c r="H650" s="8" t="s">
        <v>921</v>
      </c>
      <c r="I650" s="4" t="s">
        <v>922</v>
      </c>
      <c r="J650" s="4" t="s">
        <v>22</v>
      </c>
      <c r="K650" s="4" t="s">
        <v>179</v>
      </c>
      <c r="L650" s="4" t="s">
        <v>52</v>
      </c>
    </row>
    <row r="651" spans="1:12">
      <c r="A651" s="3" t="s">
        <v>1279</v>
      </c>
      <c r="B651" s="19">
        <v>4699</v>
      </c>
      <c r="C651" s="8">
        <v>625</v>
      </c>
      <c r="D651" s="8">
        <v>18</v>
      </c>
      <c r="E651" s="8" t="s">
        <v>14</v>
      </c>
      <c r="F651" s="4" t="s">
        <v>40</v>
      </c>
      <c r="G651" s="4" t="s">
        <v>20</v>
      </c>
      <c r="H651" s="8" t="s">
        <v>1280</v>
      </c>
      <c r="I651" s="4" t="s">
        <v>1281</v>
      </c>
      <c r="J651" s="4" t="s">
        <v>7</v>
      </c>
      <c r="K651" s="4" t="s">
        <v>205</v>
      </c>
      <c r="L651" s="4" t="s">
        <v>84</v>
      </c>
    </row>
    <row r="652" spans="1:12">
      <c r="A652" s="5" t="s">
        <v>1282</v>
      </c>
      <c r="B652" s="20">
        <v>4699</v>
      </c>
      <c r="C652" s="9">
        <v>103</v>
      </c>
      <c r="D652" s="9">
        <v>12</v>
      </c>
      <c r="E652" s="9" t="s">
        <v>14</v>
      </c>
      <c r="F652" s="6" t="s">
        <v>38</v>
      </c>
      <c r="G652" s="6" t="s">
        <v>23</v>
      </c>
      <c r="H652" s="9" t="s">
        <v>1283</v>
      </c>
      <c r="I652" s="6" t="s">
        <v>1284</v>
      </c>
      <c r="J652" s="6" t="s">
        <v>22</v>
      </c>
      <c r="K652" s="6" t="s">
        <v>223</v>
      </c>
      <c r="L652" s="6" t="s">
        <v>88</v>
      </c>
    </row>
    <row r="653" spans="1:12">
      <c r="A653" s="5" t="s">
        <v>1285</v>
      </c>
      <c r="B653" s="20">
        <v>4688</v>
      </c>
      <c r="C653" s="9">
        <v>1841</v>
      </c>
      <c r="D653" s="9">
        <v>3</v>
      </c>
      <c r="E653" s="9" t="s">
        <v>6</v>
      </c>
      <c r="F653" s="6" t="s">
        <v>17</v>
      </c>
      <c r="G653" s="6" t="s">
        <v>12</v>
      </c>
      <c r="H653" s="9" t="s">
        <v>1286</v>
      </c>
      <c r="I653" s="6" t="s">
        <v>1287</v>
      </c>
      <c r="J653" s="6" t="s">
        <v>7</v>
      </c>
      <c r="K653" s="6" t="s">
        <v>124</v>
      </c>
      <c r="L653" s="6" t="s">
        <v>72</v>
      </c>
    </row>
    <row r="654" spans="1:12">
      <c r="A654" s="3" t="s">
        <v>1285</v>
      </c>
      <c r="B654" s="19">
        <v>4688</v>
      </c>
      <c r="C654" s="8">
        <v>1841</v>
      </c>
      <c r="D654" s="8">
        <v>3</v>
      </c>
      <c r="E654" s="8" t="s">
        <v>6</v>
      </c>
      <c r="F654" s="4" t="s">
        <v>17</v>
      </c>
      <c r="G654" s="4" t="s">
        <v>12</v>
      </c>
      <c r="H654" s="8" t="s">
        <v>246</v>
      </c>
      <c r="I654" s="4" t="s">
        <v>1288</v>
      </c>
      <c r="J654" s="4" t="s">
        <v>7</v>
      </c>
      <c r="K654" s="4" t="s">
        <v>162</v>
      </c>
      <c r="L654" s="4" t="s">
        <v>54</v>
      </c>
    </row>
    <row r="655" spans="1:12">
      <c r="A655" s="5" t="s">
        <v>1289</v>
      </c>
      <c r="B655" s="20">
        <v>4629</v>
      </c>
      <c r="C655" s="9">
        <v>1660</v>
      </c>
      <c r="D655" s="9">
        <v>16</v>
      </c>
      <c r="E655" s="9" t="s">
        <v>14</v>
      </c>
      <c r="F655" s="6" t="s">
        <v>40</v>
      </c>
      <c r="G655" s="6" t="s">
        <v>20</v>
      </c>
      <c r="H655" s="11">
        <v>44961</v>
      </c>
      <c r="I655" s="6" t="s">
        <v>1290</v>
      </c>
      <c r="J655" s="6" t="s">
        <v>7</v>
      </c>
      <c r="K655" s="6" t="s">
        <v>162</v>
      </c>
      <c r="L655" s="6" t="s">
        <v>75</v>
      </c>
    </row>
    <row r="656" spans="1:12">
      <c r="A656" s="5" t="s">
        <v>1017</v>
      </c>
      <c r="B656" s="20">
        <v>4628</v>
      </c>
      <c r="C656" s="9">
        <v>1491</v>
      </c>
      <c r="D656" s="9">
        <v>17</v>
      </c>
      <c r="E656" s="9" t="s">
        <v>6</v>
      </c>
      <c r="F656" s="6" t="s">
        <v>13</v>
      </c>
      <c r="G656" s="6" t="s">
        <v>23</v>
      </c>
      <c r="H656" s="11">
        <v>44836</v>
      </c>
      <c r="I656" s="6" t="s">
        <v>1018</v>
      </c>
      <c r="J656" s="6" t="s">
        <v>19</v>
      </c>
      <c r="K656" s="6" t="s">
        <v>126</v>
      </c>
      <c r="L656" s="6" t="s">
        <v>61</v>
      </c>
    </row>
    <row r="657" spans="1:12">
      <c r="A657" s="3" t="s">
        <v>1017</v>
      </c>
      <c r="B657" s="19">
        <v>4628</v>
      </c>
      <c r="C657" s="8">
        <v>1491</v>
      </c>
      <c r="D657" s="8">
        <v>17</v>
      </c>
      <c r="E657" s="8" t="s">
        <v>6</v>
      </c>
      <c r="F657" s="4" t="s">
        <v>13</v>
      </c>
      <c r="G657" s="4" t="s">
        <v>23</v>
      </c>
      <c r="H657" s="10">
        <v>45056</v>
      </c>
      <c r="I657" s="4" t="s">
        <v>1019</v>
      </c>
      <c r="J657" s="4" t="s">
        <v>19</v>
      </c>
      <c r="K657" s="4" t="s">
        <v>108</v>
      </c>
      <c r="L657" s="4" t="s">
        <v>81</v>
      </c>
    </row>
    <row r="658" spans="1:12">
      <c r="A658" s="5" t="s">
        <v>1276</v>
      </c>
      <c r="B658" s="20">
        <v>4609</v>
      </c>
      <c r="C658" s="9">
        <v>1084</v>
      </c>
      <c r="D658" s="9">
        <v>8</v>
      </c>
      <c r="E658" s="9" t="s">
        <v>6</v>
      </c>
      <c r="F658" s="6" t="s">
        <v>24</v>
      </c>
      <c r="G658" s="6" t="s">
        <v>23</v>
      </c>
      <c r="H658" s="9" t="s">
        <v>1277</v>
      </c>
      <c r="I658" s="6" t="s">
        <v>1278</v>
      </c>
      <c r="J658" s="6" t="s">
        <v>11</v>
      </c>
      <c r="K658" s="6" t="s">
        <v>120</v>
      </c>
      <c r="L658" s="6" t="s">
        <v>78</v>
      </c>
    </row>
    <row r="659" spans="1:12">
      <c r="A659" s="3" t="s">
        <v>276</v>
      </c>
      <c r="B659" s="19">
        <v>4591</v>
      </c>
      <c r="C659" s="8">
        <v>1941</v>
      </c>
      <c r="D659" s="8">
        <v>19</v>
      </c>
      <c r="E659" s="8" t="s">
        <v>6</v>
      </c>
      <c r="F659" s="4" t="s">
        <v>24</v>
      </c>
      <c r="G659" s="4" t="s">
        <v>20</v>
      </c>
      <c r="H659" s="8" t="s">
        <v>277</v>
      </c>
      <c r="I659" s="4" t="s">
        <v>278</v>
      </c>
      <c r="J659" s="4" t="s">
        <v>25</v>
      </c>
      <c r="K659" s="4" t="s">
        <v>129</v>
      </c>
      <c r="L659" s="4" t="s">
        <v>54</v>
      </c>
    </row>
    <row r="660" spans="1:12">
      <c r="A660" s="5" t="s">
        <v>1291</v>
      </c>
      <c r="B660" s="20">
        <v>4569</v>
      </c>
      <c r="C660" s="9">
        <v>1693</v>
      </c>
      <c r="D660" s="9">
        <v>10</v>
      </c>
      <c r="E660" s="9" t="s">
        <v>6</v>
      </c>
      <c r="F660" s="6" t="s">
        <v>24</v>
      </c>
      <c r="G660" s="6" t="s">
        <v>23</v>
      </c>
      <c r="H660" s="11">
        <v>43930</v>
      </c>
      <c r="I660" s="6" t="s">
        <v>1292</v>
      </c>
      <c r="J660" s="6" t="s">
        <v>15</v>
      </c>
      <c r="K660" s="6" t="s">
        <v>171</v>
      </c>
      <c r="L660" s="6" t="s">
        <v>41</v>
      </c>
    </row>
    <row r="661" spans="1:12">
      <c r="A661" s="3" t="s">
        <v>133</v>
      </c>
      <c r="B661" s="19">
        <v>4548</v>
      </c>
      <c r="C661" s="8">
        <v>2135</v>
      </c>
      <c r="D661" s="8">
        <v>8</v>
      </c>
      <c r="E661" s="8" t="s">
        <v>14</v>
      </c>
      <c r="F661" s="4" t="s">
        <v>40</v>
      </c>
      <c r="G661" s="4" t="s">
        <v>16</v>
      </c>
      <c r="H661" s="10">
        <v>44776</v>
      </c>
      <c r="I661" s="4" t="s">
        <v>134</v>
      </c>
      <c r="J661" s="4" t="s">
        <v>22</v>
      </c>
      <c r="K661" s="4" t="s">
        <v>117</v>
      </c>
      <c r="L661" s="4" t="s">
        <v>62</v>
      </c>
    </row>
    <row r="662" spans="1:12">
      <c r="A662" s="5" t="s">
        <v>133</v>
      </c>
      <c r="B662" s="20">
        <v>4548</v>
      </c>
      <c r="C662" s="9">
        <v>2135</v>
      </c>
      <c r="D662" s="9">
        <v>8</v>
      </c>
      <c r="E662" s="9" t="s">
        <v>14</v>
      </c>
      <c r="F662" s="6" t="s">
        <v>40</v>
      </c>
      <c r="G662" s="6" t="s">
        <v>16</v>
      </c>
      <c r="H662" s="11">
        <v>44785</v>
      </c>
      <c r="I662" s="6" t="s">
        <v>135</v>
      </c>
      <c r="J662" s="6" t="s">
        <v>11</v>
      </c>
      <c r="K662" s="6" t="s">
        <v>136</v>
      </c>
      <c r="L662" s="6" t="s">
        <v>71</v>
      </c>
    </row>
    <row r="663" spans="1:12">
      <c r="A663" s="3" t="s">
        <v>1070</v>
      </c>
      <c r="B663" s="19">
        <v>4544</v>
      </c>
      <c r="C663" s="8">
        <v>1726</v>
      </c>
      <c r="D663" s="8">
        <v>9</v>
      </c>
      <c r="E663" s="8" t="s">
        <v>6</v>
      </c>
      <c r="F663" s="4" t="s">
        <v>21</v>
      </c>
      <c r="G663" s="4" t="s">
        <v>20</v>
      </c>
      <c r="H663" s="8" t="s">
        <v>1071</v>
      </c>
      <c r="I663" s="4" t="s">
        <v>1072</v>
      </c>
      <c r="J663" s="4" t="s">
        <v>25</v>
      </c>
      <c r="K663" s="4" t="s">
        <v>129</v>
      </c>
      <c r="L663" s="4" t="s">
        <v>91</v>
      </c>
    </row>
    <row r="664" spans="1:12">
      <c r="A664" s="3" t="s">
        <v>266</v>
      </c>
      <c r="B664" s="19">
        <v>4539</v>
      </c>
      <c r="C664" s="8">
        <v>1155</v>
      </c>
      <c r="D664" s="8">
        <v>8</v>
      </c>
      <c r="E664" s="8" t="s">
        <v>10</v>
      </c>
      <c r="F664" s="4" t="s">
        <v>28</v>
      </c>
      <c r="G664" s="4" t="s">
        <v>16</v>
      </c>
      <c r="H664" s="10">
        <v>45022</v>
      </c>
      <c r="I664" s="4" t="s">
        <v>267</v>
      </c>
      <c r="J664" s="4" t="s">
        <v>7</v>
      </c>
      <c r="K664" s="4" t="s">
        <v>124</v>
      </c>
      <c r="L664" s="4" t="s">
        <v>77</v>
      </c>
    </row>
    <row r="665" spans="1:12">
      <c r="A665" s="3" t="s">
        <v>159</v>
      </c>
      <c r="B665" s="19">
        <v>4534</v>
      </c>
      <c r="C665" s="8">
        <v>2235</v>
      </c>
      <c r="D665" s="8">
        <v>4</v>
      </c>
      <c r="E665" s="8" t="s">
        <v>10</v>
      </c>
      <c r="F665" s="4" t="s">
        <v>34</v>
      </c>
      <c r="G665" s="4" t="s">
        <v>8</v>
      </c>
      <c r="H665" s="8" t="s">
        <v>160</v>
      </c>
      <c r="I665" s="4" t="s">
        <v>161</v>
      </c>
      <c r="J665" s="4" t="s">
        <v>7</v>
      </c>
      <c r="K665" s="4" t="s">
        <v>162</v>
      </c>
      <c r="L665" s="4" t="s">
        <v>67</v>
      </c>
    </row>
    <row r="666" spans="1:12">
      <c r="A666" s="3" t="s">
        <v>1293</v>
      </c>
      <c r="B666" s="19">
        <v>4521</v>
      </c>
      <c r="C666" s="8">
        <v>1778</v>
      </c>
      <c r="D666" s="8">
        <v>9</v>
      </c>
      <c r="E666" s="8" t="s">
        <v>14</v>
      </c>
      <c r="F666" s="4" t="s">
        <v>42</v>
      </c>
      <c r="G666" s="4" t="s">
        <v>16</v>
      </c>
      <c r="H666" s="8" t="s">
        <v>1294</v>
      </c>
      <c r="I666" s="4" t="s">
        <v>1295</v>
      </c>
      <c r="J666" s="4" t="s">
        <v>11</v>
      </c>
      <c r="K666" s="4" t="s">
        <v>136</v>
      </c>
      <c r="L666" s="4" t="s">
        <v>93</v>
      </c>
    </row>
    <row r="667" spans="1:12">
      <c r="A667" s="3" t="s">
        <v>1296</v>
      </c>
      <c r="B667" s="19">
        <v>4510</v>
      </c>
      <c r="C667" s="8">
        <v>1896</v>
      </c>
      <c r="D667" s="8">
        <v>5</v>
      </c>
      <c r="E667" s="8" t="s">
        <v>14</v>
      </c>
      <c r="F667" s="4" t="s">
        <v>42</v>
      </c>
      <c r="G667" s="4" t="s">
        <v>20</v>
      </c>
      <c r="H667" s="8" t="s">
        <v>1297</v>
      </c>
      <c r="I667" s="4" t="s">
        <v>1298</v>
      </c>
      <c r="J667" s="4" t="s">
        <v>7</v>
      </c>
      <c r="K667" s="4" t="s">
        <v>205</v>
      </c>
      <c r="L667" s="4" t="s">
        <v>81</v>
      </c>
    </row>
    <row r="668" spans="1:12">
      <c r="A668" s="5" t="s">
        <v>879</v>
      </c>
      <c r="B668" s="20">
        <v>4495</v>
      </c>
      <c r="C668" s="9">
        <v>1408</v>
      </c>
      <c r="D668" s="9">
        <v>14</v>
      </c>
      <c r="E668" s="9" t="s">
        <v>14</v>
      </c>
      <c r="F668" s="6" t="s">
        <v>44</v>
      </c>
      <c r="G668" s="6" t="s">
        <v>20</v>
      </c>
      <c r="H668" s="9" t="s">
        <v>880</v>
      </c>
      <c r="I668" s="6" t="s">
        <v>881</v>
      </c>
      <c r="J668" s="6" t="s">
        <v>19</v>
      </c>
      <c r="K668" s="6" t="s">
        <v>126</v>
      </c>
      <c r="L668" s="6" t="s">
        <v>59</v>
      </c>
    </row>
    <row r="669" spans="1:12">
      <c r="A669" s="5" t="s">
        <v>641</v>
      </c>
      <c r="B669" s="20">
        <v>4492</v>
      </c>
      <c r="C669" s="9">
        <v>1450</v>
      </c>
      <c r="D669" s="9">
        <v>7</v>
      </c>
      <c r="E669" s="9" t="s">
        <v>10</v>
      </c>
      <c r="F669" s="6" t="s">
        <v>34</v>
      </c>
      <c r="G669" s="6" t="s">
        <v>20</v>
      </c>
      <c r="H669" s="9" t="s">
        <v>642</v>
      </c>
      <c r="I669" s="6" t="s">
        <v>643</v>
      </c>
      <c r="J669" s="6" t="s">
        <v>7</v>
      </c>
      <c r="K669" s="6" t="s">
        <v>162</v>
      </c>
      <c r="L669" s="6" t="s">
        <v>59</v>
      </c>
    </row>
    <row r="670" spans="1:12">
      <c r="A670" s="3" t="s">
        <v>1299</v>
      </c>
      <c r="B670" s="19">
        <v>4470</v>
      </c>
      <c r="C670" s="8">
        <v>413</v>
      </c>
      <c r="D670" s="8">
        <v>13</v>
      </c>
      <c r="E670" s="8" t="s">
        <v>6</v>
      </c>
      <c r="F670" s="4" t="s">
        <v>17</v>
      </c>
      <c r="G670" s="4" t="s">
        <v>23</v>
      </c>
      <c r="H670" s="10">
        <v>45690</v>
      </c>
      <c r="I670" s="4" t="s">
        <v>1300</v>
      </c>
      <c r="J670" s="4" t="s">
        <v>7</v>
      </c>
      <c r="K670" s="4" t="s">
        <v>205</v>
      </c>
      <c r="L670" s="4" t="s">
        <v>97</v>
      </c>
    </row>
    <row r="671" spans="1:12">
      <c r="A671" s="3" t="s">
        <v>1301</v>
      </c>
      <c r="B671" s="19">
        <v>4468</v>
      </c>
      <c r="C671" s="8">
        <v>1940</v>
      </c>
      <c r="D671" s="8">
        <v>9</v>
      </c>
      <c r="E671" s="8" t="s">
        <v>14</v>
      </c>
      <c r="F671" s="4" t="s">
        <v>42</v>
      </c>
      <c r="G671" s="4" t="s">
        <v>8</v>
      </c>
      <c r="H671" s="8" t="s">
        <v>1302</v>
      </c>
      <c r="I671" s="4" t="s">
        <v>1303</v>
      </c>
      <c r="J671" s="4" t="s">
        <v>11</v>
      </c>
      <c r="K671" s="4" t="s">
        <v>136</v>
      </c>
      <c r="L671" s="4" t="s">
        <v>62</v>
      </c>
    </row>
    <row r="672" spans="1:12">
      <c r="A672" s="3" t="s">
        <v>998</v>
      </c>
      <c r="B672" s="19">
        <v>4462</v>
      </c>
      <c r="C672" s="8">
        <v>121</v>
      </c>
      <c r="D672" s="8">
        <v>8</v>
      </c>
      <c r="E672" s="8" t="s">
        <v>6</v>
      </c>
      <c r="F672" s="4" t="s">
        <v>17</v>
      </c>
      <c r="G672" s="4" t="s">
        <v>8</v>
      </c>
      <c r="H672" s="8" t="s">
        <v>999</v>
      </c>
      <c r="I672" s="4" t="s">
        <v>1000</v>
      </c>
      <c r="J672" s="4" t="s">
        <v>15</v>
      </c>
      <c r="K672" s="4" t="s">
        <v>171</v>
      </c>
      <c r="L672" s="4" t="s">
        <v>63</v>
      </c>
    </row>
    <row r="673" spans="1:12">
      <c r="A673" s="3" t="s">
        <v>516</v>
      </c>
      <c r="B673" s="19">
        <v>4441</v>
      </c>
      <c r="C673" s="8">
        <v>281</v>
      </c>
      <c r="D673" s="8">
        <v>20</v>
      </c>
      <c r="E673" s="8" t="s">
        <v>6</v>
      </c>
      <c r="F673" s="4" t="s">
        <v>24</v>
      </c>
      <c r="G673" s="4" t="s">
        <v>8</v>
      </c>
      <c r="H673" s="10">
        <v>45576</v>
      </c>
      <c r="I673" s="4" t="s">
        <v>517</v>
      </c>
      <c r="J673" s="4" t="s">
        <v>25</v>
      </c>
      <c r="K673" s="4" t="s">
        <v>129</v>
      </c>
      <c r="L673" s="4" t="s">
        <v>94</v>
      </c>
    </row>
    <row r="674" spans="1:12">
      <c r="A674" s="3" t="s">
        <v>263</v>
      </c>
      <c r="B674" s="19">
        <v>4441</v>
      </c>
      <c r="C674" s="8">
        <v>314</v>
      </c>
      <c r="D674" s="8">
        <v>14</v>
      </c>
      <c r="E674" s="8" t="s">
        <v>10</v>
      </c>
      <c r="F674" s="4" t="s">
        <v>30</v>
      </c>
      <c r="G674" s="4" t="s">
        <v>16</v>
      </c>
      <c r="H674" s="8" t="s">
        <v>264</v>
      </c>
      <c r="I674" s="4" t="s">
        <v>265</v>
      </c>
      <c r="J674" s="4" t="s">
        <v>19</v>
      </c>
      <c r="K674" s="4" t="s">
        <v>108</v>
      </c>
      <c r="L674" s="4" t="s">
        <v>87</v>
      </c>
    </row>
    <row r="675" spans="1:12">
      <c r="A675" s="3" t="s">
        <v>493</v>
      </c>
      <c r="B675" s="19">
        <v>4439</v>
      </c>
      <c r="C675" s="8">
        <v>1712</v>
      </c>
      <c r="D675" s="8">
        <v>19</v>
      </c>
      <c r="E675" s="8" t="s">
        <v>10</v>
      </c>
      <c r="F675" s="4" t="s">
        <v>32</v>
      </c>
      <c r="G675" s="4" t="s">
        <v>12</v>
      </c>
      <c r="H675" s="8" t="s">
        <v>494</v>
      </c>
      <c r="I675" s="4" t="s">
        <v>495</v>
      </c>
      <c r="J675" s="4" t="s">
        <v>11</v>
      </c>
      <c r="K675" s="4" t="s">
        <v>120</v>
      </c>
      <c r="L675" s="4" t="s">
        <v>61</v>
      </c>
    </row>
    <row r="676" spans="1:12">
      <c r="A676" s="5" t="s">
        <v>493</v>
      </c>
      <c r="B676" s="20">
        <v>4439</v>
      </c>
      <c r="C676" s="9">
        <v>1712</v>
      </c>
      <c r="D676" s="9">
        <v>19</v>
      </c>
      <c r="E676" s="9" t="s">
        <v>10</v>
      </c>
      <c r="F676" s="6" t="s">
        <v>32</v>
      </c>
      <c r="G676" s="6" t="s">
        <v>12</v>
      </c>
      <c r="H676" s="11">
        <v>44320</v>
      </c>
      <c r="I676" s="6" t="s">
        <v>496</v>
      </c>
      <c r="J676" s="6" t="s">
        <v>25</v>
      </c>
      <c r="K676" s="6" t="s">
        <v>253</v>
      </c>
      <c r="L676" s="6" t="s">
        <v>51</v>
      </c>
    </row>
    <row r="677" spans="1:12">
      <c r="A677" s="5" t="s">
        <v>454</v>
      </c>
      <c r="B677" s="20">
        <v>4404</v>
      </c>
      <c r="C677" s="9">
        <v>858</v>
      </c>
      <c r="D677" s="9">
        <v>17</v>
      </c>
      <c r="E677" s="9" t="s">
        <v>14</v>
      </c>
      <c r="F677" s="6" t="s">
        <v>44</v>
      </c>
      <c r="G677" s="6" t="s">
        <v>16</v>
      </c>
      <c r="H677" s="9" t="s">
        <v>455</v>
      </c>
      <c r="I677" s="6" t="s">
        <v>456</v>
      </c>
      <c r="J677" s="6" t="s">
        <v>22</v>
      </c>
      <c r="K677" s="6" t="s">
        <v>179</v>
      </c>
      <c r="L677" s="6" t="s">
        <v>86</v>
      </c>
    </row>
    <row r="678" spans="1:12">
      <c r="A678" s="3" t="s">
        <v>1013</v>
      </c>
      <c r="B678" s="19">
        <v>4395</v>
      </c>
      <c r="C678" s="8">
        <v>1663</v>
      </c>
      <c r="D678" s="8">
        <v>3</v>
      </c>
      <c r="E678" s="8" t="s">
        <v>10</v>
      </c>
      <c r="F678" s="4" t="s">
        <v>28</v>
      </c>
      <c r="G678" s="4" t="s">
        <v>8</v>
      </c>
      <c r="H678" s="8" t="s">
        <v>175</v>
      </c>
      <c r="I678" s="4" t="s">
        <v>1014</v>
      </c>
      <c r="J678" s="4" t="s">
        <v>19</v>
      </c>
      <c r="K678" s="4" t="s">
        <v>210</v>
      </c>
      <c r="L678" s="4" t="s">
        <v>97</v>
      </c>
    </row>
    <row r="679" spans="1:12">
      <c r="A679" s="5" t="s">
        <v>1304</v>
      </c>
      <c r="B679" s="20">
        <v>4390</v>
      </c>
      <c r="C679" s="9">
        <v>179</v>
      </c>
      <c r="D679" s="9">
        <v>1</v>
      </c>
      <c r="E679" s="9" t="s">
        <v>10</v>
      </c>
      <c r="F679" s="6" t="s">
        <v>34</v>
      </c>
      <c r="G679" s="6" t="s">
        <v>16</v>
      </c>
      <c r="H679" s="9" t="s">
        <v>762</v>
      </c>
      <c r="I679" s="6" t="s">
        <v>1305</v>
      </c>
      <c r="J679" s="6" t="s">
        <v>19</v>
      </c>
      <c r="K679" s="6" t="s">
        <v>126</v>
      </c>
      <c r="L679" s="6" t="s">
        <v>58</v>
      </c>
    </row>
    <row r="680" spans="1:12">
      <c r="A680" s="3" t="s">
        <v>283</v>
      </c>
      <c r="B680" s="19">
        <v>4382</v>
      </c>
      <c r="C680" s="8">
        <v>482</v>
      </c>
      <c r="D680" s="8">
        <v>17</v>
      </c>
      <c r="E680" s="8" t="s">
        <v>6</v>
      </c>
      <c r="F680" s="4" t="s">
        <v>13</v>
      </c>
      <c r="G680" s="4" t="s">
        <v>8</v>
      </c>
      <c r="H680" s="8" t="s">
        <v>284</v>
      </c>
      <c r="I680" s="4" t="s">
        <v>285</v>
      </c>
      <c r="J680" s="4" t="s">
        <v>7</v>
      </c>
      <c r="K680" s="4" t="s">
        <v>124</v>
      </c>
      <c r="L680" s="4" t="s">
        <v>86</v>
      </c>
    </row>
    <row r="681" spans="1:12">
      <c r="A681" s="5" t="s">
        <v>1306</v>
      </c>
      <c r="B681" s="20">
        <v>4371</v>
      </c>
      <c r="C681" s="9">
        <v>1852</v>
      </c>
      <c r="D681" s="9">
        <v>1</v>
      </c>
      <c r="E681" s="9" t="s">
        <v>6</v>
      </c>
      <c r="F681" s="6" t="s">
        <v>17</v>
      </c>
      <c r="G681" s="6" t="s">
        <v>23</v>
      </c>
      <c r="H681" s="9" t="s">
        <v>1307</v>
      </c>
      <c r="I681" s="6" t="s">
        <v>1308</v>
      </c>
      <c r="J681" s="6" t="s">
        <v>15</v>
      </c>
      <c r="K681" s="6" t="s">
        <v>235</v>
      </c>
      <c r="L681" s="6" t="s">
        <v>48</v>
      </c>
    </row>
    <row r="682" spans="1:12">
      <c r="A682" s="5" t="s">
        <v>1309</v>
      </c>
      <c r="B682" s="20">
        <v>4369</v>
      </c>
      <c r="C682" s="9">
        <v>584</v>
      </c>
      <c r="D682" s="9">
        <v>13</v>
      </c>
      <c r="E682" s="9" t="s">
        <v>14</v>
      </c>
      <c r="F682" s="6" t="s">
        <v>44</v>
      </c>
      <c r="G682" s="6" t="s">
        <v>12</v>
      </c>
      <c r="H682" s="9" t="s">
        <v>118</v>
      </c>
      <c r="I682" s="6" t="s">
        <v>1310</v>
      </c>
      <c r="J682" s="6" t="s">
        <v>15</v>
      </c>
      <c r="K682" s="6" t="s">
        <v>235</v>
      </c>
      <c r="L682" s="6" t="s">
        <v>68</v>
      </c>
    </row>
    <row r="683" spans="1:12">
      <c r="A683" s="3" t="s">
        <v>1309</v>
      </c>
      <c r="B683" s="19">
        <v>4369</v>
      </c>
      <c r="C683" s="8">
        <v>584</v>
      </c>
      <c r="D683" s="8">
        <v>13</v>
      </c>
      <c r="E683" s="8" t="s">
        <v>14</v>
      </c>
      <c r="F683" s="4" t="s">
        <v>44</v>
      </c>
      <c r="G683" s="4" t="s">
        <v>12</v>
      </c>
      <c r="H683" s="10">
        <v>44259</v>
      </c>
      <c r="I683" s="4" t="s">
        <v>1311</v>
      </c>
      <c r="J683" s="4" t="s">
        <v>25</v>
      </c>
      <c r="K683" s="4" t="s">
        <v>111</v>
      </c>
      <c r="L683" s="4" t="s">
        <v>51</v>
      </c>
    </row>
    <row r="684" spans="1:12">
      <c r="A684" s="5" t="s">
        <v>871</v>
      </c>
      <c r="B684" s="20">
        <v>4364</v>
      </c>
      <c r="C684" s="9">
        <v>831</v>
      </c>
      <c r="D684" s="9">
        <v>2</v>
      </c>
      <c r="E684" s="9" t="s">
        <v>10</v>
      </c>
      <c r="F684" s="6" t="s">
        <v>34</v>
      </c>
      <c r="G684" s="6" t="s">
        <v>20</v>
      </c>
      <c r="H684" s="11">
        <v>45455</v>
      </c>
      <c r="I684" s="6" t="s">
        <v>872</v>
      </c>
      <c r="J684" s="6" t="s">
        <v>22</v>
      </c>
      <c r="K684" s="6" t="s">
        <v>117</v>
      </c>
      <c r="L684" s="6" t="s">
        <v>95</v>
      </c>
    </row>
    <row r="685" spans="1:12">
      <c r="A685" s="3" t="s">
        <v>1312</v>
      </c>
      <c r="B685" s="19">
        <v>4364</v>
      </c>
      <c r="C685" s="8">
        <v>148</v>
      </c>
      <c r="D685" s="8">
        <v>18</v>
      </c>
      <c r="E685" s="8" t="s">
        <v>10</v>
      </c>
      <c r="F685" s="4" t="s">
        <v>34</v>
      </c>
      <c r="G685" s="4" t="s">
        <v>20</v>
      </c>
      <c r="H685" s="8" t="s">
        <v>1313</v>
      </c>
      <c r="I685" s="4" t="s">
        <v>617</v>
      </c>
      <c r="J685" s="4" t="s">
        <v>22</v>
      </c>
      <c r="K685" s="4" t="s">
        <v>223</v>
      </c>
      <c r="L685" s="4" t="s">
        <v>66</v>
      </c>
    </row>
    <row r="686" spans="1:12">
      <c r="A686" s="3" t="s">
        <v>945</v>
      </c>
      <c r="B686" s="19">
        <v>4358</v>
      </c>
      <c r="C686" s="8">
        <v>526</v>
      </c>
      <c r="D686" s="8">
        <v>19</v>
      </c>
      <c r="E686" s="8" t="s">
        <v>6</v>
      </c>
      <c r="F686" s="4" t="s">
        <v>21</v>
      </c>
      <c r="G686" s="4" t="s">
        <v>12</v>
      </c>
      <c r="H686" s="10">
        <v>44693</v>
      </c>
      <c r="I686" s="4" t="s">
        <v>946</v>
      </c>
      <c r="J686" s="4" t="s">
        <v>25</v>
      </c>
      <c r="K686" s="4" t="s">
        <v>129</v>
      </c>
      <c r="L686" s="4" t="s">
        <v>71</v>
      </c>
    </row>
    <row r="687" spans="1:12">
      <c r="A687" s="5" t="s">
        <v>945</v>
      </c>
      <c r="B687" s="20">
        <v>4358</v>
      </c>
      <c r="C687" s="9">
        <v>526</v>
      </c>
      <c r="D687" s="9">
        <v>19</v>
      </c>
      <c r="E687" s="9" t="s">
        <v>6</v>
      </c>
      <c r="F687" s="6" t="s">
        <v>21</v>
      </c>
      <c r="G687" s="6" t="s">
        <v>12</v>
      </c>
      <c r="H687" s="9" t="s">
        <v>947</v>
      </c>
      <c r="I687" s="6" t="s">
        <v>948</v>
      </c>
      <c r="J687" s="6" t="s">
        <v>7</v>
      </c>
      <c r="K687" s="6" t="s">
        <v>124</v>
      </c>
      <c r="L687" s="6" t="s">
        <v>92</v>
      </c>
    </row>
    <row r="688" spans="1:12">
      <c r="A688" s="3" t="s">
        <v>1314</v>
      </c>
      <c r="B688" s="19">
        <v>4314</v>
      </c>
      <c r="C688" s="8">
        <v>1453</v>
      </c>
      <c r="D688" s="8">
        <v>6</v>
      </c>
      <c r="E688" s="8" t="s">
        <v>10</v>
      </c>
      <c r="F688" s="4" t="s">
        <v>32</v>
      </c>
      <c r="G688" s="4" t="s">
        <v>8</v>
      </c>
      <c r="H688" s="10">
        <v>44477</v>
      </c>
      <c r="I688" s="4" t="s">
        <v>1315</v>
      </c>
      <c r="J688" s="4" t="s">
        <v>11</v>
      </c>
      <c r="K688" s="4" t="s">
        <v>136</v>
      </c>
      <c r="L688" s="4" t="s">
        <v>55</v>
      </c>
    </row>
    <row r="689" spans="1:12">
      <c r="A689" s="3" t="s">
        <v>1316</v>
      </c>
      <c r="B689" s="19">
        <v>4314</v>
      </c>
      <c r="C689" s="8">
        <v>1591</v>
      </c>
      <c r="D689" s="8">
        <v>5</v>
      </c>
      <c r="E689" s="8" t="s">
        <v>10</v>
      </c>
      <c r="F689" s="4" t="s">
        <v>34</v>
      </c>
      <c r="G689" s="4" t="s">
        <v>16</v>
      </c>
      <c r="H689" s="10">
        <v>44296</v>
      </c>
      <c r="I689" s="4" t="s">
        <v>1317</v>
      </c>
      <c r="J689" s="4" t="s">
        <v>19</v>
      </c>
      <c r="K689" s="4" t="s">
        <v>126</v>
      </c>
      <c r="L689" s="4" t="s">
        <v>57</v>
      </c>
    </row>
    <row r="690" spans="1:12">
      <c r="A690" s="5" t="s">
        <v>1089</v>
      </c>
      <c r="B690" s="20">
        <v>4307</v>
      </c>
      <c r="C690" s="9">
        <v>615</v>
      </c>
      <c r="D690" s="9">
        <v>3</v>
      </c>
      <c r="E690" s="9" t="s">
        <v>6</v>
      </c>
      <c r="F690" s="6" t="s">
        <v>13</v>
      </c>
      <c r="G690" s="6" t="s">
        <v>23</v>
      </c>
      <c r="H690" s="9" t="s">
        <v>1090</v>
      </c>
      <c r="I690" s="6" t="s">
        <v>1091</v>
      </c>
      <c r="J690" s="6" t="s">
        <v>19</v>
      </c>
      <c r="K690" s="6" t="s">
        <v>210</v>
      </c>
      <c r="L690" s="6" t="s">
        <v>86</v>
      </c>
    </row>
    <row r="691" spans="1:12">
      <c r="A691" s="3" t="s">
        <v>1089</v>
      </c>
      <c r="B691" s="19">
        <v>4307</v>
      </c>
      <c r="C691" s="8">
        <v>615</v>
      </c>
      <c r="D691" s="8">
        <v>3</v>
      </c>
      <c r="E691" s="8" t="s">
        <v>6</v>
      </c>
      <c r="F691" s="4" t="s">
        <v>13</v>
      </c>
      <c r="G691" s="4" t="s">
        <v>23</v>
      </c>
      <c r="H691" s="10">
        <v>44115</v>
      </c>
      <c r="I691" s="4" t="s">
        <v>1092</v>
      </c>
      <c r="J691" s="4" t="s">
        <v>15</v>
      </c>
      <c r="K691" s="4" t="s">
        <v>171</v>
      </c>
      <c r="L691" s="4" t="s">
        <v>45</v>
      </c>
    </row>
    <row r="692" spans="1:12">
      <c r="A692" s="5" t="s">
        <v>1318</v>
      </c>
      <c r="B692" s="20">
        <v>4244</v>
      </c>
      <c r="C692" s="9">
        <v>340</v>
      </c>
      <c r="D692" s="9">
        <v>10</v>
      </c>
      <c r="E692" s="9" t="s">
        <v>6</v>
      </c>
      <c r="F692" s="6" t="s">
        <v>17</v>
      </c>
      <c r="G692" s="6" t="s">
        <v>16</v>
      </c>
      <c r="H692" s="11">
        <v>44053</v>
      </c>
      <c r="I692" s="6" t="s">
        <v>1319</v>
      </c>
      <c r="J692" s="6" t="s">
        <v>19</v>
      </c>
      <c r="K692" s="6" t="s">
        <v>126</v>
      </c>
      <c r="L692" s="6" t="s">
        <v>43</v>
      </c>
    </row>
    <row r="693" spans="1:12">
      <c r="A693" s="5" t="s">
        <v>1320</v>
      </c>
      <c r="B693" s="20">
        <v>4220</v>
      </c>
      <c r="C693" s="9">
        <v>945</v>
      </c>
      <c r="D693" s="9">
        <v>13</v>
      </c>
      <c r="E693" s="9" t="s">
        <v>14</v>
      </c>
      <c r="F693" s="6" t="s">
        <v>40</v>
      </c>
      <c r="G693" s="6" t="s">
        <v>20</v>
      </c>
      <c r="H693" s="9" t="s">
        <v>1321</v>
      </c>
      <c r="I693" s="6" t="s">
        <v>1322</v>
      </c>
      <c r="J693" s="6" t="s">
        <v>15</v>
      </c>
      <c r="K693" s="6" t="s">
        <v>171</v>
      </c>
      <c r="L693" s="6" t="s">
        <v>86</v>
      </c>
    </row>
    <row r="694" spans="1:12">
      <c r="A694" s="3" t="s">
        <v>1320</v>
      </c>
      <c r="B694" s="19">
        <v>4220</v>
      </c>
      <c r="C694" s="8">
        <v>945</v>
      </c>
      <c r="D694" s="8">
        <v>13</v>
      </c>
      <c r="E694" s="8" t="s">
        <v>14</v>
      </c>
      <c r="F694" s="4" t="s">
        <v>40</v>
      </c>
      <c r="G694" s="4" t="s">
        <v>20</v>
      </c>
      <c r="H694" s="8" t="s">
        <v>614</v>
      </c>
      <c r="I694" s="4" t="s">
        <v>1323</v>
      </c>
      <c r="J694" s="4" t="s">
        <v>15</v>
      </c>
      <c r="K694" s="4" t="s">
        <v>235</v>
      </c>
      <c r="L694" s="4" t="s">
        <v>47</v>
      </c>
    </row>
    <row r="695" spans="1:12">
      <c r="A695" s="5" t="s">
        <v>1324</v>
      </c>
      <c r="B695" s="20">
        <v>4215</v>
      </c>
      <c r="C695" s="9">
        <v>432</v>
      </c>
      <c r="D695" s="9">
        <v>14</v>
      </c>
      <c r="E695" s="9" t="s">
        <v>10</v>
      </c>
      <c r="F695" s="6" t="s">
        <v>30</v>
      </c>
      <c r="G695" s="6" t="s">
        <v>16</v>
      </c>
      <c r="H695" s="11">
        <v>45324</v>
      </c>
      <c r="I695" s="6" t="s">
        <v>1325</v>
      </c>
      <c r="J695" s="6" t="s">
        <v>22</v>
      </c>
      <c r="K695" s="6" t="s">
        <v>179</v>
      </c>
      <c r="L695" s="6" t="s">
        <v>85</v>
      </c>
    </row>
    <row r="696" spans="1:12">
      <c r="A696" s="3" t="s">
        <v>1326</v>
      </c>
      <c r="B696" s="19">
        <v>4206</v>
      </c>
      <c r="C696" s="8">
        <v>1821</v>
      </c>
      <c r="D696" s="8">
        <v>17</v>
      </c>
      <c r="E696" s="8" t="s">
        <v>6</v>
      </c>
      <c r="F696" s="4" t="s">
        <v>13</v>
      </c>
      <c r="G696" s="4" t="s">
        <v>20</v>
      </c>
      <c r="H696" s="8" t="s">
        <v>1327</v>
      </c>
      <c r="I696" s="4" t="s">
        <v>1328</v>
      </c>
      <c r="J696" s="4" t="s">
        <v>25</v>
      </c>
      <c r="K696" s="4" t="s">
        <v>111</v>
      </c>
      <c r="L696" s="4" t="s">
        <v>60</v>
      </c>
    </row>
    <row r="697" spans="1:12">
      <c r="A697" s="5" t="s">
        <v>1329</v>
      </c>
      <c r="B697" s="20">
        <v>4202</v>
      </c>
      <c r="C697" s="9">
        <v>1171</v>
      </c>
      <c r="D697" s="9">
        <v>3</v>
      </c>
      <c r="E697" s="9" t="s">
        <v>14</v>
      </c>
      <c r="F697" s="6" t="s">
        <v>40</v>
      </c>
      <c r="G697" s="6" t="s">
        <v>8</v>
      </c>
      <c r="H697" s="9" t="s">
        <v>1330</v>
      </c>
      <c r="I697" s="6" t="s">
        <v>1331</v>
      </c>
      <c r="J697" s="6" t="s">
        <v>15</v>
      </c>
      <c r="K697" s="6" t="s">
        <v>235</v>
      </c>
      <c r="L697" s="6" t="s">
        <v>70</v>
      </c>
    </row>
    <row r="698" spans="1:12">
      <c r="A698" s="3" t="s">
        <v>1329</v>
      </c>
      <c r="B698" s="19">
        <v>4202</v>
      </c>
      <c r="C698" s="8">
        <v>1171</v>
      </c>
      <c r="D698" s="8">
        <v>3</v>
      </c>
      <c r="E698" s="8" t="s">
        <v>14</v>
      </c>
      <c r="F698" s="4" t="s">
        <v>40</v>
      </c>
      <c r="G698" s="4" t="s">
        <v>8</v>
      </c>
      <c r="H698" s="8" t="s">
        <v>233</v>
      </c>
      <c r="I698" s="4" t="s">
        <v>1332</v>
      </c>
      <c r="J698" s="4" t="s">
        <v>19</v>
      </c>
      <c r="K698" s="4" t="s">
        <v>108</v>
      </c>
      <c r="L698" s="4" t="s">
        <v>69</v>
      </c>
    </row>
    <row r="699" spans="1:12">
      <c r="A699" s="5" t="s">
        <v>1329</v>
      </c>
      <c r="B699" s="20">
        <v>4202</v>
      </c>
      <c r="C699" s="9">
        <v>1171</v>
      </c>
      <c r="D699" s="9">
        <v>3</v>
      </c>
      <c r="E699" s="9" t="s">
        <v>14</v>
      </c>
      <c r="F699" s="6" t="s">
        <v>40</v>
      </c>
      <c r="G699" s="6" t="s">
        <v>8</v>
      </c>
      <c r="H699" s="11">
        <v>45088</v>
      </c>
      <c r="I699" s="6" t="s">
        <v>1333</v>
      </c>
      <c r="J699" s="6" t="s">
        <v>11</v>
      </c>
      <c r="K699" s="6" t="s">
        <v>136</v>
      </c>
      <c r="L699" s="6" t="s">
        <v>82</v>
      </c>
    </row>
    <row r="700" spans="1:12">
      <c r="A700" s="3" t="s">
        <v>1329</v>
      </c>
      <c r="B700" s="19">
        <v>4202</v>
      </c>
      <c r="C700" s="8">
        <v>1171</v>
      </c>
      <c r="D700" s="8">
        <v>3</v>
      </c>
      <c r="E700" s="8" t="s">
        <v>14</v>
      </c>
      <c r="F700" s="4" t="s">
        <v>40</v>
      </c>
      <c r="G700" s="4" t="s">
        <v>8</v>
      </c>
      <c r="H700" s="10">
        <v>45271</v>
      </c>
      <c r="I700" s="4" t="s">
        <v>1334</v>
      </c>
      <c r="J700" s="4" t="s">
        <v>25</v>
      </c>
      <c r="K700" s="4" t="s">
        <v>253</v>
      </c>
      <c r="L700" s="4" t="s">
        <v>82</v>
      </c>
    </row>
    <row r="701" spans="1:12">
      <c r="A701" s="3" t="s">
        <v>829</v>
      </c>
      <c r="B701" s="19">
        <v>4200</v>
      </c>
      <c r="C701" s="8">
        <v>855</v>
      </c>
      <c r="D701" s="8">
        <v>10</v>
      </c>
      <c r="E701" s="8" t="s">
        <v>14</v>
      </c>
      <c r="F701" s="4" t="s">
        <v>40</v>
      </c>
      <c r="G701" s="4" t="s">
        <v>20</v>
      </c>
      <c r="H701" s="10">
        <v>44535</v>
      </c>
      <c r="I701" s="4" t="s">
        <v>830</v>
      </c>
      <c r="J701" s="4" t="s">
        <v>19</v>
      </c>
      <c r="K701" s="4" t="s">
        <v>126</v>
      </c>
      <c r="L701" s="4" t="s">
        <v>52</v>
      </c>
    </row>
    <row r="702" spans="1:12">
      <c r="A702" s="5" t="s">
        <v>829</v>
      </c>
      <c r="B702" s="20">
        <v>4200</v>
      </c>
      <c r="C702" s="9">
        <v>855</v>
      </c>
      <c r="D702" s="9">
        <v>10</v>
      </c>
      <c r="E702" s="9" t="s">
        <v>14</v>
      </c>
      <c r="F702" s="6" t="s">
        <v>40</v>
      </c>
      <c r="G702" s="6" t="s">
        <v>20</v>
      </c>
      <c r="H702" s="9" t="s">
        <v>831</v>
      </c>
      <c r="I702" s="6" t="s">
        <v>832</v>
      </c>
      <c r="J702" s="6" t="s">
        <v>11</v>
      </c>
      <c r="K702" s="6" t="s">
        <v>136</v>
      </c>
      <c r="L702" s="6" t="s">
        <v>80</v>
      </c>
    </row>
    <row r="703" spans="1:12">
      <c r="A703" s="5" t="s">
        <v>1335</v>
      </c>
      <c r="B703" s="20">
        <v>4183</v>
      </c>
      <c r="C703" s="9">
        <v>1159</v>
      </c>
      <c r="D703" s="9">
        <v>4</v>
      </c>
      <c r="E703" s="9" t="s">
        <v>14</v>
      </c>
      <c r="F703" s="6" t="s">
        <v>44</v>
      </c>
      <c r="G703" s="6" t="s">
        <v>16</v>
      </c>
      <c r="H703" s="9" t="s">
        <v>1336</v>
      </c>
      <c r="I703" s="6" t="s">
        <v>1337</v>
      </c>
      <c r="J703" s="6" t="s">
        <v>15</v>
      </c>
      <c r="K703" s="6" t="s">
        <v>171</v>
      </c>
      <c r="L703" s="6" t="s">
        <v>37</v>
      </c>
    </row>
    <row r="704" spans="1:12">
      <c r="A704" s="3" t="s">
        <v>1338</v>
      </c>
      <c r="B704" s="19">
        <v>4172</v>
      </c>
      <c r="C704" s="8">
        <v>235</v>
      </c>
      <c r="D704" s="8">
        <v>5</v>
      </c>
      <c r="E704" s="8" t="s">
        <v>14</v>
      </c>
      <c r="F704" s="4" t="s">
        <v>42</v>
      </c>
      <c r="G704" s="4" t="s">
        <v>20</v>
      </c>
      <c r="H704" s="10">
        <v>44233</v>
      </c>
      <c r="I704" s="4" t="s">
        <v>1339</v>
      </c>
      <c r="J704" s="4" t="s">
        <v>22</v>
      </c>
      <c r="K704" s="4" t="s">
        <v>117</v>
      </c>
      <c r="L704" s="4" t="s">
        <v>53</v>
      </c>
    </row>
    <row r="705" spans="1:12">
      <c r="A705" s="5" t="s">
        <v>1338</v>
      </c>
      <c r="B705" s="20">
        <v>4172</v>
      </c>
      <c r="C705" s="9">
        <v>235</v>
      </c>
      <c r="D705" s="9">
        <v>5</v>
      </c>
      <c r="E705" s="9" t="s">
        <v>14</v>
      </c>
      <c r="F705" s="6" t="s">
        <v>42</v>
      </c>
      <c r="G705" s="6" t="s">
        <v>20</v>
      </c>
      <c r="H705" s="9" t="s">
        <v>1340</v>
      </c>
      <c r="I705" s="6" t="s">
        <v>1341</v>
      </c>
      <c r="J705" s="6" t="s">
        <v>11</v>
      </c>
      <c r="K705" s="6" t="s">
        <v>120</v>
      </c>
      <c r="L705" s="6" t="s">
        <v>67</v>
      </c>
    </row>
    <row r="706" spans="1:12">
      <c r="A706" s="3" t="s">
        <v>1338</v>
      </c>
      <c r="B706" s="19">
        <v>4172</v>
      </c>
      <c r="C706" s="8">
        <v>235</v>
      </c>
      <c r="D706" s="8">
        <v>5</v>
      </c>
      <c r="E706" s="8" t="s">
        <v>14</v>
      </c>
      <c r="F706" s="4" t="s">
        <v>42</v>
      </c>
      <c r="G706" s="4" t="s">
        <v>20</v>
      </c>
      <c r="H706" s="8" t="s">
        <v>188</v>
      </c>
      <c r="I706" s="4" t="s">
        <v>1342</v>
      </c>
      <c r="J706" s="4" t="s">
        <v>15</v>
      </c>
      <c r="K706" s="4" t="s">
        <v>171</v>
      </c>
      <c r="L706" s="4" t="s">
        <v>87</v>
      </c>
    </row>
    <row r="707" spans="1:12">
      <c r="A707" s="3" t="s">
        <v>1343</v>
      </c>
      <c r="B707" s="19">
        <v>4171</v>
      </c>
      <c r="C707" s="8">
        <v>1450</v>
      </c>
      <c r="D707" s="8">
        <v>18</v>
      </c>
      <c r="E707" s="8" t="s">
        <v>14</v>
      </c>
      <c r="F707" s="4" t="s">
        <v>40</v>
      </c>
      <c r="G707" s="4" t="s">
        <v>8</v>
      </c>
      <c r="H707" s="10">
        <v>45111</v>
      </c>
      <c r="I707" s="4" t="s">
        <v>1344</v>
      </c>
      <c r="J707" s="4" t="s">
        <v>25</v>
      </c>
      <c r="K707" s="4" t="s">
        <v>129</v>
      </c>
      <c r="L707" s="4" t="s">
        <v>75</v>
      </c>
    </row>
    <row r="708" spans="1:12">
      <c r="A708" s="5" t="s">
        <v>1148</v>
      </c>
      <c r="B708" s="20">
        <v>4164</v>
      </c>
      <c r="C708" s="9">
        <v>905</v>
      </c>
      <c r="D708" s="9">
        <v>11</v>
      </c>
      <c r="E708" s="9" t="s">
        <v>6</v>
      </c>
      <c r="F708" s="6" t="s">
        <v>21</v>
      </c>
      <c r="G708" s="6" t="s">
        <v>8</v>
      </c>
      <c r="H708" s="11">
        <v>45028</v>
      </c>
      <c r="I708" s="6" t="s">
        <v>1149</v>
      </c>
      <c r="J708" s="6" t="s">
        <v>7</v>
      </c>
      <c r="K708" s="6" t="s">
        <v>162</v>
      </c>
      <c r="L708" s="6" t="s">
        <v>83</v>
      </c>
    </row>
    <row r="709" spans="1:12">
      <c r="A709" s="5" t="s">
        <v>1345</v>
      </c>
      <c r="B709" s="20">
        <v>4163</v>
      </c>
      <c r="C709" s="9">
        <v>897</v>
      </c>
      <c r="D709" s="9">
        <v>14</v>
      </c>
      <c r="E709" s="9" t="s">
        <v>6</v>
      </c>
      <c r="F709" s="6" t="s">
        <v>13</v>
      </c>
      <c r="G709" s="6" t="s">
        <v>8</v>
      </c>
      <c r="H709" s="9" t="s">
        <v>1264</v>
      </c>
      <c r="I709" s="6" t="s">
        <v>1346</v>
      </c>
      <c r="J709" s="6" t="s">
        <v>15</v>
      </c>
      <c r="K709" s="6" t="s">
        <v>171</v>
      </c>
      <c r="L709" s="6" t="s">
        <v>67</v>
      </c>
    </row>
    <row r="710" spans="1:12">
      <c r="A710" s="3" t="s">
        <v>1345</v>
      </c>
      <c r="B710" s="19">
        <v>4163</v>
      </c>
      <c r="C710" s="8">
        <v>897</v>
      </c>
      <c r="D710" s="8">
        <v>14</v>
      </c>
      <c r="E710" s="8" t="s">
        <v>6</v>
      </c>
      <c r="F710" s="4" t="s">
        <v>13</v>
      </c>
      <c r="G710" s="4" t="s">
        <v>8</v>
      </c>
      <c r="H710" s="8" t="s">
        <v>1347</v>
      </c>
      <c r="I710" s="4" t="s">
        <v>1348</v>
      </c>
      <c r="J710" s="4" t="s">
        <v>22</v>
      </c>
      <c r="K710" s="4" t="s">
        <v>117</v>
      </c>
      <c r="L710" s="4" t="s">
        <v>97</v>
      </c>
    </row>
    <row r="711" spans="1:12">
      <c r="A711" s="5" t="s">
        <v>1345</v>
      </c>
      <c r="B711" s="20">
        <v>4163</v>
      </c>
      <c r="C711" s="9">
        <v>897</v>
      </c>
      <c r="D711" s="9">
        <v>14</v>
      </c>
      <c r="E711" s="9" t="s">
        <v>6</v>
      </c>
      <c r="F711" s="6" t="s">
        <v>13</v>
      </c>
      <c r="G711" s="6" t="s">
        <v>8</v>
      </c>
      <c r="H711" s="11">
        <v>44322</v>
      </c>
      <c r="I711" s="6" t="s">
        <v>1349</v>
      </c>
      <c r="J711" s="6" t="s">
        <v>11</v>
      </c>
      <c r="K711" s="6" t="s">
        <v>120</v>
      </c>
      <c r="L711" s="6" t="s">
        <v>53</v>
      </c>
    </row>
    <row r="712" spans="1:12">
      <c r="A712" s="3" t="s">
        <v>1350</v>
      </c>
      <c r="B712" s="19">
        <v>4157</v>
      </c>
      <c r="C712" s="8">
        <v>1874</v>
      </c>
      <c r="D712" s="8">
        <v>8</v>
      </c>
      <c r="E712" s="8" t="s">
        <v>6</v>
      </c>
      <c r="F712" s="4" t="s">
        <v>17</v>
      </c>
      <c r="G712" s="4" t="s">
        <v>20</v>
      </c>
      <c r="H712" s="10">
        <v>44113</v>
      </c>
      <c r="I712" s="4" t="s">
        <v>1351</v>
      </c>
      <c r="J712" s="4" t="s">
        <v>7</v>
      </c>
      <c r="K712" s="4" t="s">
        <v>124</v>
      </c>
      <c r="L712" s="4" t="s">
        <v>41</v>
      </c>
    </row>
    <row r="713" spans="1:12">
      <c r="A713" s="5" t="s">
        <v>1352</v>
      </c>
      <c r="B713" s="20">
        <v>4146</v>
      </c>
      <c r="C713" s="9">
        <v>865</v>
      </c>
      <c r="D713" s="9">
        <v>19</v>
      </c>
      <c r="E713" s="9" t="s">
        <v>10</v>
      </c>
      <c r="F713" s="6" t="s">
        <v>34</v>
      </c>
      <c r="G713" s="6" t="s">
        <v>20</v>
      </c>
      <c r="H713" s="11">
        <v>44658</v>
      </c>
      <c r="I713" s="6" t="s">
        <v>1353</v>
      </c>
      <c r="J713" s="6" t="s">
        <v>25</v>
      </c>
      <c r="K713" s="6" t="s">
        <v>253</v>
      </c>
      <c r="L713" s="6" t="s">
        <v>66</v>
      </c>
    </row>
    <row r="714" spans="1:12">
      <c r="A714" s="5" t="s">
        <v>1354</v>
      </c>
      <c r="B714" s="20">
        <v>4116</v>
      </c>
      <c r="C714" s="9">
        <v>921</v>
      </c>
      <c r="D714" s="9">
        <v>20</v>
      </c>
      <c r="E714" s="9" t="s">
        <v>14</v>
      </c>
      <c r="F714" s="6" t="s">
        <v>42</v>
      </c>
      <c r="G714" s="6" t="s">
        <v>23</v>
      </c>
      <c r="H714" s="11">
        <v>45483</v>
      </c>
      <c r="I714" s="6" t="s">
        <v>1355</v>
      </c>
      <c r="J714" s="6" t="s">
        <v>7</v>
      </c>
      <c r="K714" s="6" t="s">
        <v>205</v>
      </c>
      <c r="L714" s="6" t="s">
        <v>93</v>
      </c>
    </row>
    <row r="715" spans="1:12">
      <c r="A715" s="3" t="s">
        <v>1354</v>
      </c>
      <c r="B715" s="19">
        <v>4116</v>
      </c>
      <c r="C715" s="8">
        <v>921</v>
      </c>
      <c r="D715" s="8">
        <v>20</v>
      </c>
      <c r="E715" s="8" t="s">
        <v>14</v>
      </c>
      <c r="F715" s="4" t="s">
        <v>42</v>
      </c>
      <c r="G715" s="4" t="s">
        <v>23</v>
      </c>
      <c r="H715" s="10">
        <v>44052</v>
      </c>
      <c r="I715" s="4" t="s">
        <v>1356</v>
      </c>
      <c r="J715" s="4" t="s">
        <v>15</v>
      </c>
      <c r="K715" s="4" t="s">
        <v>171</v>
      </c>
      <c r="L715" s="4" t="s">
        <v>41</v>
      </c>
    </row>
    <row r="716" spans="1:12">
      <c r="A716" s="3" t="s">
        <v>1272</v>
      </c>
      <c r="B716" s="19">
        <v>4115</v>
      </c>
      <c r="C716" s="8">
        <v>1285</v>
      </c>
      <c r="D716" s="8">
        <v>1</v>
      </c>
      <c r="E716" s="8" t="s">
        <v>10</v>
      </c>
      <c r="F716" s="4" t="s">
        <v>32</v>
      </c>
      <c r="G716" s="4" t="s">
        <v>23</v>
      </c>
      <c r="H716" s="10">
        <v>44047</v>
      </c>
      <c r="I716" s="4" t="s">
        <v>1273</v>
      </c>
      <c r="J716" s="4" t="s">
        <v>11</v>
      </c>
      <c r="K716" s="4" t="s">
        <v>120</v>
      </c>
      <c r="L716" s="4" t="s">
        <v>31</v>
      </c>
    </row>
    <row r="717" spans="1:12">
      <c r="A717" s="5" t="s">
        <v>1357</v>
      </c>
      <c r="B717" s="20">
        <v>4099</v>
      </c>
      <c r="C717" s="9">
        <v>52</v>
      </c>
      <c r="D717" s="9">
        <v>18</v>
      </c>
      <c r="E717" s="9" t="s">
        <v>6</v>
      </c>
      <c r="F717" s="6" t="s">
        <v>17</v>
      </c>
      <c r="G717" s="6" t="s">
        <v>23</v>
      </c>
      <c r="H717" s="9" t="s">
        <v>115</v>
      </c>
      <c r="I717" s="6" t="s">
        <v>1358</v>
      </c>
      <c r="J717" s="6" t="s">
        <v>19</v>
      </c>
      <c r="K717" s="6" t="s">
        <v>210</v>
      </c>
      <c r="L717" s="6" t="s">
        <v>62</v>
      </c>
    </row>
    <row r="718" spans="1:12">
      <c r="A718" s="5" t="s">
        <v>323</v>
      </c>
      <c r="B718" s="20">
        <v>4080</v>
      </c>
      <c r="C718" s="9">
        <v>72</v>
      </c>
      <c r="D718" s="9">
        <v>17</v>
      </c>
      <c r="E718" s="9" t="s">
        <v>14</v>
      </c>
      <c r="F718" s="6" t="s">
        <v>42</v>
      </c>
      <c r="G718" s="6" t="s">
        <v>8</v>
      </c>
      <c r="H718" s="9" t="s">
        <v>324</v>
      </c>
      <c r="I718" s="6" t="s">
        <v>325</v>
      </c>
      <c r="J718" s="6" t="s">
        <v>19</v>
      </c>
      <c r="K718" s="6" t="s">
        <v>108</v>
      </c>
      <c r="L718" s="6" t="s">
        <v>88</v>
      </c>
    </row>
    <row r="719" spans="1:12">
      <c r="A719" s="5" t="s">
        <v>748</v>
      </c>
      <c r="B719" s="20">
        <v>4074</v>
      </c>
      <c r="C719" s="9">
        <v>1175</v>
      </c>
      <c r="D719" s="9">
        <v>6</v>
      </c>
      <c r="E719" s="9" t="s">
        <v>6</v>
      </c>
      <c r="F719" s="6" t="s">
        <v>13</v>
      </c>
      <c r="G719" s="6" t="s">
        <v>16</v>
      </c>
      <c r="H719" s="9" t="s">
        <v>749</v>
      </c>
      <c r="I719" s="6" t="s">
        <v>750</v>
      </c>
      <c r="J719" s="6" t="s">
        <v>7</v>
      </c>
      <c r="K719" s="6" t="s">
        <v>162</v>
      </c>
      <c r="L719" s="6" t="s">
        <v>78</v>
      </c>
    </row>
    <row r="720" spans="1:12">
      <c r="A720" s="5" t="s">
        <v>1359</v>
      </c>
      <c r="B720" s="20">
        <v>4057</v>
      </c>
      <c r="C720" s="9">
        <v>1012</v>
      </c>
      <c r="D720" s="9">
        <v>6</v>
      </c>
      <c r="E720" s="9" t="s">
        <v>6</v>
      </c>
      <c r="F720" s="6" t="s">
        <v>17</v>
      </c>
      <c r="G720" s="6" t="s">
        <v>12</v>
      </c>
      <c r="H720" s="11">
        <v>44904</v>
      </c>
      <c r="I720" s="6" t="s">
        <v>1360</v>
      </c>
      <c r="J720" s="6" t="s">
        <v>7</v>
      </c>
      <c r="K720" s="6" t="s">
        <v>162</v>
      </c>
      <c r="L720" s="6" t="s">
        <v>68</v>
      </c>
    </row>
    <row r="721" spans="1:12">
      <c r="A721" s="5" t="s">
        <v>1240</v>
      </c>
      <c r="B721" s="20">
        <v>4051</v>
      </c>
      <c r="C721" s="9">
        <v>1848</v>
      </c>
      <c r="D721" s="9">
        <v>12</v>
      </c>
      <c r="E721" s="9" t="s">
        <v>6</v>
      </c>
      <c r="F721" s="6" t="s">
        <v>21</v>
      </c>
      <c r="G721" s="6" t="s">
        <v>12</v>
      </c>
      <c r="H721" s="11">
        <v>44992</v>
      </c>
      <c r="I721" s="6" t="s">
        <v>1241</v>
      </c>
      <c r="J721" s="6" t="s">
        <v>7</v>
      </c>
      <c r="K721" s="6" t="s">
        <v>162</v>
      </c>
      <c r="L721" s="6" t="s">
        <v>78</v>
      </c>
    </row>
    <row r="722" spans="1:12">
      <c r="A722" s="3" t="s">
        <v>1240</v>
      </c>
      <c r="B722" s="19">
        <v>4051</v>
      </c>
      <c r="C722" s="8">
        <v>1848</v>
      </c>
      <c r="D722" s="8">
        <v>12</v>
      </c>
      <c r="E722" s="8" t="s">
        <v>6</v>
      </c>
      <c r="F722" s="4" t="s">
        <v>21</v>
      </c>
      <c r="G722" s="4" t="s">
        <v>12</v>
      </c>
      <c r="H722" s="10">
        <v>44413</v>
      </c>
      <c r="I722" s="4" t="s">
        <v>1242</v>
      </c>
      <c r="J722" s="4" t="s">
        <v>22</v>
      </c>
      <c r="K722" s="4" t="s">
        <v>223</v>
      </c>
      <c r="L722" s="4" t="s">
        <v>52</v>
      </c>
    </row>
    <row r="723" spans="1:12">
      <c r="A723" s="3" t="s">
        <v>820</v>
      </c>
      <c r="B723" s="19">
        <v>4046</v>
      </c>
      <c r="C723" s="8">
        <v>417</v>
      </c>
      <c r="D723" s="8">
        <v>18</v>
      </c>
      <c r="E723" s="8" t="s">
        <v>10</v>
      </c>
      <c r="F723" s="4" t="s">
        <v>30</v>
      </c>
      <c r="G723" s="4" t="s">
        <v>12</v>
      </c>
      <c r="H723" s="8" t="s">
        <v>821</v>
      </c>
      <c r="I723" s="4" t="s">
        <v>822</v>
      </c>
      <c r="J723" s="4" t="s">
        <v>7</v>
      </c>
      <c r="K723" s="4" t="s">
        <v>205</v>
      </c>
      <c r="L723" s="4" t="s">
        <v>53</v>
      </c>
    </row>
    <row r="724" spans="1:12">
      <c r="A724" s="3" t="s">
        <v>1361</v>
      </c>
      <c r="B724" s="19">
        <v>4037</v>
      </c>
      <c r="C724" s="8">
        <v>1494</v>
      </c>
      <c r="D724" s="8">
        <v>15</v>
      </c>
      <c r="E724" s="8" t="s">
        <v>10</v>
      </c>
      <c r="F724" s="4" t="s">
        <v>30</v>
      </c>
      <c r="G724" s="4" t="s">
        <v>20</v>
      </c>
      <c r="H724" s="10">
        <v>44930</v>
      </c>
      <c r="I724" s="4" t="s">
        <v>1362</v>
      </c>
      <c r="J724" s="4" t="s">
        <v>7</v>
      </c>
      <c r="K724" s="4" t="s">
        <v>124</v>
      </c>
      <c r="L724" s="4" t="s">
        <v>75</v>
      </c>
    </row>
    <row r="725" spans="1:12">
      <c r="A725" s="3" t="s">
        <v>1363</v>
      </c>
      <c r="B725" s="19">
        <v>4027</v>
      </c>
      <c r="C725" s="8">
        <v>1386</v>
      </c>
      <c r="D725" s="8">
        <v>3</v>
      </c>
      <c r="E725" s="8" t="s">
        <v>10</v>
      </c>
      <c r="F725" s="4" t="s">
        <v>28</v>
      </c>
      <c r="G725" s="4" t="s">
        <v>20</v>
      </c>
      <c r="H725" s="8" t="s">
        <v>1364</v>
      </c>
      <c r="I725" s="4" t="s">
        <v>1365</v>
      </c>
      <c r="J725" s="4" t="s">
        <v>11</v>
      </c>
      <c r="K725" s="4" t="s">
        <v>136</v>
      </c>
      <c r="L725" s="4" t="s">
        <v>39</v>
      </c>
    </row>
    <row r="726" spans="1:12">
      <c r="A726" s="3" t="s">
        <v>1366</v>
      </c>
      <c r="B726" s="19">
        <v>4026</v>
      </c>
      <c r="C726" s="8">
        <v>163</v>
      </c>
      <c r="D726" s="8">
        <v>6</v>
      </c>
      <c r="E726" s="8" t="s">
        <v>6</v>
      </c>
      <c r="F726" s="4" t="s">
        <v>21</v>
      </c>
      <c r="G726" s="4" t="s">
        <v>8</v>
      </c>
      <c r="H726" s="8" t="s">
        <v>1367</v>
      </c>
      <c r="I726" s="4" t="s">
        <v>1368</v>
      </c>
      <c r="J726" s="4" t="s">
        <v>19</v>
      </c>
      <c r="K726" s="4" t="s">
        <v>210</v>
      </c>
      <c r="L726" s="4" t="s">
        <v>78</v>
      </c>
    </row>
    <row r="727" spans="1:12">
      <c r="A727" s="3" t="s">
        <v>1369</v>
      </c>
      <c r="B727" s="19">
        <v>4015</v>
      </c>
      <c r="C727" s="8">
        <v>1751</v>
      </c>
      <c r="D727" s="8">
        <v>15</v>
      </c>
      <c r="E727" s="8" t="s">
        <v>10</v>
      </c>
      <c r="F727" s="4" t="s">
        <v>30</v>
      </c>
      <c r="G727" s="4" t="s">
        <v>16</v>
      </c>
      <c r="H727" s="8" t="s">
        <v>1198</v>
      </c>
      <c r="I727" s="4" t="s">
        <v>1370</v>
      </c>
      <c r="J727" s="4" t="s">
        <v>7</v>
      </c>
      <c r="K727" s="4" t="s">
        <v>124</v>
      </c>
      <c r="L727" s="4" t="s">
        <v>67</v>
      </c>
    </row>
    <row r="728" spans="1:12">
      <c r="A728" s="5" t="s">
        <v>1369</v>
      </c>
      <c r="B728" s="20">
        <v>4015</v>
      </c>
      <c r="C728" s="9">
        <v>1751</v>
      </c>
      <c r="D728" s="9">
        <v>15</v>
      </c>
      <c r="E728" s="9" t="s">
        <v>10</v>
      </c>
      <c r="F728" s="6" t="s">
        <v>30</v>
      </c>
      <c r="G728" s="6" t="s">
        <v>16</v>
      </c>
      <c r="H728" s="11">
        <v>44052</v>
      </c>
      <c r="I728" s="6" t="s">
        <v>1371</v>
      </c>
      <c r="J728" s="6" t="s">
        <v>19</v>
      </c>
      <c r="K728" s="6" t="s">
        <v>210</v>
      </c>
      <c r="L728" s="6" t="s">
        <v>41</v>
      </c>
    </row>
    <row r="729" spans="1:12">
      <c r="A729" s="3" t="s">
        <v>1372</v>
      </c>
      <c r="B729" s="19">
        <v>4007</v>
      </c>
      <c r="C729" s="8">
        <v>201</v>
      </c>
      <c r="D729" s="8">
        <v>13</v>
      </c>
      <c r="E729" s="8" t="s">
        <v>10</v>
      </c>
      <c r="F729" s="4" t="s">
        <v>28</v>
      </c>
      <c r="G729" s="4" t="s">
        <v>8</v>
      </c>
      <c r="H729" s="8" t="s">
        <v>668</v>
      </c>
      <c r="I729" s="4" t="s">
        <v>1373</v>
      </c>
      <c r="J729" s="4" t="s">
        <v>22</v>
      </c>
      <c r="K729" s="4" t="s">
        <v>179</v>
      </c>
      <c r="L729" s="4" t="s">
        <v>43</v>
      </c>
    </row>
    <row r="730" spans="1:12">
      <c r="A730" s="5" t="s">
        <v>1372</v>
      </c>
      <c r="B730" s="20">
        <v>4007</v>
      </c>
      <c r="C730" s="9">
        <v>201</v>
      </c>
      <c r="D730" s="9">
        <v>13</v>
      </c>
      <c r="E730" s="9" t="s">
        <v>10</v>
      </c>
      <c r="F730" s="6" t="s">
        <v>28</v>
      </c>
      <c r="G730" s="6" t="s">
        <v>8</v>
      </c>
      <c r="H730" s="9" t="s">
        <v>562</v>
      </c>
      <c r="I730" s="6" t="s">
        <v>1374</v>
      </c>
      <c r="J730" s="6" t="s">
        <v>25</v>
      </c>
      <c r="K730" s="6" t="s">
        <v>129</v>
      </c>
      <c r="L730" s="6" t="s">
        <v>75</v>
      </c>
    </row>
    <row r="731" spans="1:12">
      <c r="A731" s="5" t="s">
        <v>1375</v>
      </c>
      <c r="B731" s="20">
        <v>3977</v>
      </c>
      <c r="C731" s="9">
        <v>813</v>
      </c>
      <c r="D731" s="9">
        <v>5</v>
      </c>
      <c r="E731" s="9" t="s">
        <v>14</v>
      </c>
      <c r="F731" s="6" t="s">
        <v>38</v>
      </c>
      <c r="G731" s="6" t="s">
        <v>12</v>
      </c>
      <c r="H731" s="11">
        <v>45547</v>
      </c>
      <c r="I731" s="6" t="s">
        <v>1376</v>
      </c>
      <c r="J731" s="6" t="s">
        <v>19</v>
      </c>
      <c r="K731" s="6" t="s">
        <v>210</v>
      </c>
      <c r="L731" s="6" t="s">
        <v>95</v>
      </c>
    </row>
    <row r="732" spans="1:12">
      <c r="A732" s="5" t="s">
        <v>1377</v>
      </c>
      <c r="B732" s="20">
        <v>3958</v>
      </c>
      <c r="C732" s="9">
        <v>630</v>
      </c>
      <c r="D732" s="9">
        <v>15</v>
      </c>
      <c r="E732" s="9" t="s">
        <v>10</v>
      </c>
      <c r="F732" s="6" t="s">
        <v>32</v>
      </c>
      <c r="G732" s="6" t="s">
        <v>20</v>
      </c>
      <c r="H732" s="11">
        <v>44752</v>
      </c>
      <c r="I732" s="6" t="s">
        <v>1378</v>
      </c>
      <c r="J732" s="6" t="s">
        <v>11</v>
      </c>
      <c r="K732" s="6" t="s">
        <v>120</v>
      </c>
      <c r="L732" s="6" t="s">
        <v>69</v>
      </c>
    </row>
    <row r="733" spans="1:12">
      <c r="A733" s="3" t="s">
        <v>1379</v>
      </c>
      <c r="B733" s="19">
        <v>3957</v>
      </c>
      <c r="C733" s="8">
        <v>151</v>
      </c>
      <c r="D733" s="8">
        <v>10</v>
      </c>
      <c r="E733" s="8" t="s">
        <v>14</v>
      </c>
      <c r="F733" s="4" t="s">
        <v>38</v>
      </c>
      <c r="G733" s="4" t="s">
        <v>20</v>
      </c>
      <c r="H733" s="8" t="s">
        <v>1380</v>
      </c>
      <c r="I733" s="4" t="s">
        <v>1381</v>
      </c>
      <c r="J733" s="4" t="s">
        <v>25</v>
      </c>
      <c r="K733" s="4" t="s">
        <v>111</v>
      </c>
      <c r="L733" s="4" t="s">
        <v>63</v>
      </c>
    </row>
    <row r="734" spans="1:12">
      <c r="A734" s="3" t="s">
        <v>949</v>
      </c>
      <c r="B734" s="19">
        <v>3956</v>
      </c>
      <c r="C734" s="8">
        <v>142</v>
      </c>
      <c r="D734" s="8">
        <v>12</v>
      </c>
      <c r="E734" s="8" t="s">
        <v>14</v>
      </c>
      <c r="F734" s="4" t="s">
        <v>44</v>
      </c>
      <c r="G734" s="4" t="s">
        <v>16</v>
      </c>
      <c r="H734" s="8" t="s">
        <v>950</v>
      </c>
      <c r="I734" s="4" t="s">
        <v>951</v>
      </c>
      <c r="J734" s="4" t="s">
        <v>11</v>
      </c>
      <c r="K734" s="4" t="s">
        <v>136</v>
      </c>
      <c r="L734" s="4" t="s">
        <v>80</v>
      </c>
    </row>
    <row r="735" spans="1:12">
      <c r="A735" s="5" t="s">
        <v>949</v>
      </c>
      <c r="B735" s="20">
        <v>3956</v>
      </c>
      <c r="C735" s="9">
        <v>142</v>
      </c>
      <c r="D735" s="9">
        <v>12</v>
      </c>
      <c r="E735" s="9" t="s">
        <v>14</v>
      </c>
      <c r="F735" s="6" t="s">
        <v>44</v>
      </c>
      <c r="G735" s="6" t="s">
        <v>16</v>
      </c>
      <c r="H735" s="9" t="s">
        <v>952</v>
      </c>
      <c r="I735" s="6" t="s">
        <v>953</v>
      </c>
      <c r="J735" s="6" t="s">
        <v>25</v>
      </c>
      <c r="K735" s="6" t="s">
        <v>129</v>
      </c>
      <c r="L735" s="6" t="s">
        <v>95</v>
      </c>
    </row>
    <row r="736" spans="1:12">
      <c r="A736" s="5" t="s">
        <v>1105</v>
      </c>
      <c r="B736" s="20">
        <v>3953</v>
      </c>
      <c r="C736" s="9">
        <v>1776</v>
      </c>
      <c r="D736" s="9">
        <v>15</v>
      </c>
      <c r="E736" s="9" t="s">
        <v>6</v>
      </c>
      <c r="F736" s="6" t="s">
        <v>13</v>
      </c>
      <c r="G736" s="6" t="s">
        <v>23</v>
      </c>
      <c r="H736" s="9" t="s">
        <v>1106</v>
      </c>
      <c r="I736" s="6" t="s">
        <v>1107</v>
      </c>
      <c r="J736" s="6" t="s">
        <v>15</v>
      </c>
      <c r="K736" s="6" t="s">
        <v>132</v>
      </c>
      <c r="L736" s="6" t="s">
        <v>72</v>
      </c>
    </row>
    <row r="737" spans="1:12">
      <c r="A737" s="3" t="s">
        <v>1105</v>
      </c>
      <c r="B737" s="19">
        <v>3953</v>
      </c>
      <c r="C737" s="8">
        <v>1776</v>
      </c>
      <c r="D737" s="8">
        <v>15</v>
      </c>
      <c r="E737" s="8" t="s">
        <v>6</v>
      </c>
      <c r="F737" s="4" t="s">
        <v>13</v>
      </c>
      <c r="G737" s="4" t="s">
        <v>23</v>
      </c>
      <c r="H737" s="10">
        <v>44899</v>
      </c>
      <c r="I737" s="4" t="s">
        <v>1108</v>
      </c>
      <c r="J737" s="4" t="s">
        <v>25</v>
      </c>
      <c r="K737" s="4" t="s">
        <v>253</v>
      </c>
      <c r="L737" s="4" t="s">
        <v>63</v>
      </c>
    </row>
    <row r="738" spans="1:12">
      <c r="A738" s="5" t="s">
        <v>1105</v>
      </c>
      <c r="B738" s="20">
        <v>3953</v>
      </c>
      <c r="C738" s="9">
        <v>1776</v>
      </c>
      <c r="D738" s="9">
        <v>15</v>
      </c>
      <c r="E738" s="9" t="s">
        <v>6</v>
      </c>
      <c r="F738" s="6" t="s">
        <v>13</v>
      </c>
      <c r="G738" s="6" t="s">
        <v>23</v>
      </c>
      <c r="H738" s="9" t="s">
        <v>1109</v>
      </c>
      <c r="I738" s="6" t="s">
        <v>1110</v>
      </c>
      <c r="J738" s="6" t="s">
        <v>11</v>
      </c>
      <c r="K738" s="6" t="s">
        <v>156</v>
      </c>
      <c r="L738" s="6" t="s">
        <v>83</v>
      </c>
    </row>
    <row r="739" spans="1:12">
      <c r="A739" s="5" t="s">
        <v>886</v>
      </c>
      <c r="B739" s="20">
        <v>3944</v>
      </c>
      <c r="C739" s="9">
        <v>1559</v>
      </c>
      <c r="D739" s="9">
        <v>18</v>
      </c>
      <c r="E739" s="9" t="s">
        <v>6</v>
      </c>
      <c r="F739" s="6" t="s">
        <v>21</v>
      </c>
      <c r="G739" s="6" t="s">
        <v>12</v>
      </c>
      <c r="H739" s="11">
        <v>45632</v>
      </c>
      <c r="I739" s="6" t="s">
        <v>887</v>
      </c>
      <c r="J739" s="6" t="s">
        <v>7</v>
      </c>
      <c r="K739" s="6" t="s">
        <v>124</v>
      </c>
      <c r="L739" s="6" t="s">
        <v>89</v>
      </c>
    </row>
    <row r="740" spans="1:12">
      <c r="A740" s="5" t="s">
        <v>544</v>
      </c>
      <c r="B740" s="20">
        <v>3936</v>
      </c>
      <c r="C740" s="9">
        <v>1626</v>
      </c>
      <c r="D740" s="9">
        <v>14</v>
      </c>
      <c r="E740" s="9" t="s">
        <v>14</v>
      </c>
      <c r="F740" s="6" t="s">
        <v>42</v>
      </c>
      <c r="G740" s="6" t="s">
        <v>8</v>
      </c>
      <c r="H740" s="9" t="s">
        <v>545</v>
      </c>
      <c r="I740" s="6" t="s">
        <v>546</v>
      </c>
      <c r="J740" s="6" t="s">
        <v>19</v>
      </c>
      <c r="K740" s="6" t="s">
        <v>126</v>
      </c>
      <c r="L740" s="6" t="s">
        <v>60</v>
      </c>
    </row>
    <row r="741" spans="1:12">
      <c r="A741" s="3" t="s">
        <v>1382</v>
      </c>
      <c r="B741" s="19">
        <v>3927</v>
      </c>
      <c r="C741" s="8">
        <v>1133</v>
      </c>
      <c r="D741" s="8">
        <v>12</v>
      </c>
      <c r="E741" s="8" t="s">
        <v>10</v>
      </c>
      <c r="F741" s="4" t="s">
        <v>28</v>
      </c>
      <c r="G741" s="4" t="s">
        <v>8</v>
      </c>
      <c r="H741" s="10">
        <v>44929</v>
      </c>
      <c r="I741" s="4" t="s">
        <v>1383</v>
      </c>
      <c r="J741" s="4" t="s">
        <v>22</v>
      </c>
      <c r="K741" s="4" t="s">
        <v>117</v>
      </c>
      <c r="L741" s="4" t="s">
        <v>74</v>
      </c>
    </row>
    <row r="742" spans="1:12">
      <c r="A742" s="3" t="s">
        <v>1384</v>
      </c>
      <c r="B742" s="19">
        <v>3918</v>
      </c>
      <c r="C742" s="8">
        <v>749</v>
      </c>
      <c r="D742" s="8">
        <v>8</v>
      </c>
      <c r="E742" s="8" t="s">
        <v>6</v>
      </c>
      <c r="F742" s="4" t="s">
        <v>17</v>
      </c>
      <c r="G742" s="4" t="s">
        <v>12</v>
      </c>
      <c r="H742" s="10">
        <v>45204</v>
      </c>
      <c r="I742" s="4" t="s">
        <v>1385</v>
      </c>
      <c r="J742" s="4" t="s">
        <v>7</v>
      </c>
      <c r="K742" s="4" t="s">
        <v>162</v>
      </c>
      <c r="L742" s="4" t="s">
        <v>76</v>
      </c>
    </row>
    <row r="743" spans="1:12">
      <c r="A743" s="5" t="s">
        <v>1384</v>
      </c>
      <c r="B743" s="20">
        <v>3918</v>
      </c>
      <c r="C743" s="9">
        <v>749</v>
      </c>
      <c r="D743" s="9">
        <v>8</v>
      </c>
      <c r="E743" s="9" t="s">
        <v>6</v>
      </c>
      <c r="F743" s="6" t="s">
        <v>17</v>
      </c>
      <c r="G743" s="6" t="s">
        <v>12</v>
      </c>
      <c r="H743" s="11">
        <v>43866</v>
      </c>
      <c r="I743" s="6" t="s">
        <v>1386</v>
      </c>
      <c r="J743" s="6" t="s">
        <v>25</v>
      </c>
      <c r="K743" s="6" t="s">
        <v>253</v>
      </c>
      <c r="L743" s="6" t="s">
        <v>33</v>
      </c>
    </row>
    <row r="744" spans="1:12">
      <c r="A744" s="3" t="s">
        <v>1387</v>
      </c>
      <c r="B744" s="19">
        <v>3913</v>
      </c>
      <c r="C744" s="8">
        <v>961</v>
      </c>
      <c r="D744" s="8">
        <v>15</v>
      </c>
      <c r="E744" s="8" t="s">
        <v>10</v>
      </c>
      <c r="F744" s="4" t="s">
        <v>32</v>
      </c>
      <c r="G744" s="4" t="s">
        <v>23</v>
      </c>
      <c r="H744" s="10">
        <v>45567</v>
      </c>
      <c r="I744" s="4" t="s">
        <v>1388</v>
      </c>
      <c r="J744" s="4" t="s">
        <v>22</v>
      </c>
      <c r="K744" s="4" t="s">
        <v>179</v>
      </c>
      <c r="L744" s="4" t="s">
        <v>85</v>
      </c>
    </row>
    <row r="745" spans="1:12">
      <c r="A745" s="5" t="s">
        <v>1387</v>
      </c>
      <c r="B745" s="20">
        <v>3913</v>
      </c>
      <c r="C745" s="9">
        <v>961</v>
      </c>
      <c r="D745" s="9">
        <v>15</v>
      </c>
      <c r="E745" s="9" t="s">
        <v>10</v>
      </c>
      <c r="F745" s="6" t="s">
        <v>32</v>
      </c>
      <c r="G745" s="6" t="s">
        <v>23</v>
      </c>
      <c r="H745" s="11">
        <v>44349</v>
      </c>
      <c r="I745" s="6" t="s">
        <v>1389</v>
      </c>
      <c r="J745" s="6" t="s">
        <v>7</v>
      </c>
      <c r="K745" s="6" t="s">
        <v>124</v>
      </c>
      <c r="L745" s="6" t="s">
        <v>49</v>
      </c>
    </row>
    <row r="746" spans="1:12">
      <c r="A746" s="5" t="s">
        <v>1390</v>
      </c>
      <c r="B746" s="20">
        <v>3900</v>
      </c>
      <c r="C746" s="9">
        <v>115</v>
      </c>
      <c r="D746" s="9">
        <v>9</v>
      </c>
      <c r="E746" s="9" t="s">
        <v>10</v>
      </c>
      <c r="F746" s="6" t="s">
        <v>30</v>
      </c>
      <c r="G746" s="6" t="s">
        <v>8</v>
      </c>
      <c r="H746" s="11">
        <v>45117</v>
      </c>
      <c r="I746" s="6" t="s">
        <v>1391</v>
      </c>
      <c r="J746" s="6" t="s">
        <v>15</v>
      </c>
      <c r="K746" s="6" t="s">
        <v>171</v>
      </c>
      <c r="L746" s="6" t="s">
        <v>81</v>
      </c>
    </row>
    <row r="747" spans="1:12">
      <c r="A747" s="3" t="s">
        <v>1392</v>
      </c>
      <c r="B747" s="19">
        <v>3887</v>
      </c>
      <c r="C747" s="8">
        <v>1490</v>
      </c>
      <c r="D747" s="8">
        <v>1</v>
      </c>
      <c r="E747" s="8" t="s">
        <v>14</v>
      </c>
      <c r="F747" s="4" t="s">
        <v>38</v>
      </c>
      <c r="G747" s="4" t="s">
        <v>16</v>
      </c>
      <c r="H747" s="10">
        <v>45293</v>
      </c>
      <c r="I747" s="4" t="s">
        <v>1393</v>
      </c>
      <c r="J747" s="4" t="s">
        <v>7</v>
      </c>
      <c r="K747" s="4" t="s">
        <v>124</v>
      </c>
      <c r="L747" s="4" t="s">
        <v>85</v>
      </c>
    </row>
    <row r="748" spans="1:12">
      <c r="A748" s="5" t="s">
        <v>1392</v>
      </c>
      <c r="B748" s="20">
        <v>3887</v>
      </c>
      <c r="C748" s="9">
        <v>1490</v>
      </c>
      <c r="D748" s="9">
        <v>1</v>
      </c>
      <c r="E748" s="9" t="s">
        <v>14</v>
      </c>
      <c r="F748" s="6" t="s">
        <v>38</v>
      </c>
      <c r="G748" s="6" t="s">
        <v>16</v>
      </c>
      <c r="H748" s="11">
        <v>44448</v>
      </c>
      <c r="I748" s="6" t="s">
        <v>1394</v>
      </c>
      <c r="J748" s="6" t="s">
        <v>15</v>
      </c>
      <c r="K748" s="6" t="s">
        <v>171</v>
      </c>
      <c r="L748" s="6" t="s">
        <v>56</v>
      </c>
    </row>
    <row r="749" spans="1:12">
      <c r="A749" s="3" t="s">
        <v>1392</v>
      </c>
      <c r="B749" s="19">
        <v>3887</v>
      </c>
      <c r="C749" s="8">
        <v>1490</v>
      </c>
      <c r="D749" s="8">
        <v>1</v>
      </c>
      <c r="E749" s="8" t="s">
        <v>14</v>
      </c>
      <c r="F749" s="4" t="s">
        <v>38</v>
      </c>
      <c r="G749" s="4" t="s">
        <v>16</v>
      </c>
      <c r="H749" s="10">
        <v>44417</v>
      </c>
      <c r="I749" s="4" t="s">
        <v>1395</v>
      </c>
      <c r="J749" s="4" t="s">
        <v>7</v>
      </c>
      <c r="K749" s="4" t="s">
        <v>162</v>
      </c>
      <c r="L749" s="4" t="s">
        <v>56</v>
      </c>
    </row>
    <row r="750" spans="1:12">
      <c r="A750" s="3" t="s">
        <v>1396</v>
      </c>
      <c r="B750" s="19">
        <v>3877</v>
      </c>
      <c r="C750" s="8">
        <v>481</v>
      </c>
      <c r="D750" s="8">
        <v>16</v>
      </c>
      <c r="E750" s="8" t="s">
        <v>10</v>
      </c>
      <c r="F750" s="4" t="s">
        <v>30</v>
      </c>
      <c r="G750" s="4" t="s">
        <v>16</v>
      </c>
      <c r="H750" s="8" t="s">
        <v>1397</v>
      </c>
      <c r="I750" s="4" t="s">
        <v>1398</v>
      </c>
      <c r="J750" s="4" t="s">
        <v>19</v>
      </c>
      <c r="K750" s="4" t="s">
        <v>108</v>
      </c>
      <c r="L750" s="4" t="s">
        <v>78</v>
      </c>
    </row>
    <row r="751" spans="1:12">
      <c r="A751" s="5" t="s">
        <v>1396</v>
      </c>
      <c r="B751" s="20">
        <v>3877</v>
      </c>
      <c r="C751" s="9">
        <v>481</v>
      </c>
      <c r="D751" s="9">
        <v>16</v>
      </c>
      <c r="E751" s="9" t="s">
        <v>10</v>
      </c>
      <c r="F751" s="6" t="s">
        <v>30</v>
      </c>
      <c r="G751" s="6" t="s">
        <v>16</v>
      </c>
      <c r="H751" s="11">
        <v>44653</v>
      </c>
      <c r="I751" s="6" t="s">
        <v>1399</v>
      </c>
      <c r="J751" s="6" t="s">
        <v>19</v>
      </c>
      <c r="K751" s="6" t="s">
        <v>210</v>
      </c>
      <c r="L751" s="6" t="s">
        <v>61</v>
      </c>
    </row>
    <row r="752" spans="1:12">
      <c r="A752" s="3" t="s">
        <v>1400</v>
      </c>
      <c r="B752" s="19">
        <v>3854</v>
      </c>
      <c r="C752" s="8">
        <v>245</v>
      </c>
      <c r="D752" s="8">
        <v>19</v>
      </c>
      <c r="E752" s="8" t="s">
        <v>6</v>
      </c>
      <c r="F752" s="4" t="s">
        <v>17</v>
      </c>
      <c r="G752" s="4" t="s">
        <v>8</v>
      </c>
      <c r="H752" s="8" t="s">
        <v>1401</v>
      </c>
      <c r="I752" s="4" t="s">
        <v>1402</v>
      </c>
      <c r="J752" s="4" t="s">
        <v>22</v>
      </c>
      <c r="K752" s="4" t="s">
        <v>179</v>
      </c>
      <c r="L752" s="4" t="s">
        <v>64</v>
      </c>
    </row>
    <row r="753" spans="1:12">
      <c r="A753" s="5" t="s">
        <v>1086</v>
      </c>
      <c r="B753" s="20">
        <v>3853</v>
      </c>
      <c r="C753" s="9">
        <v>1457</v>
      </c>
      <c r="D753" s="9">
        <v>10</v>
      </c>
      <c r="E753" s="9" t="s">
        <v>14</v>
      </c>
      <c r="F753" s="6" t="s">
        <v>38</v>
      </c>
      <c r="G753" s="6" t="s">
        <v>8</v>
      </c>
      <c r="H753" s="9" t="s">
        <v>1087</v>
      </c>
      <c r="I753" s="6" t="s">
        <v>1088</v>
      </c>
      <c r="J753" s="6" t="s">
        <v>15</v>
      </c>
      <c r="K753" s="6" t="s">
        <v>132</v>
      </c>
      <c r="L753" s="6" t="s">
        <v>91</v>
      </c>
    </row>
    <row r="754" spans="1:12">
      <c r="A754" s="5" t="s">
        <v>1403</v>
      </c>
      <c r="B754" s="20">
        <v>3839</v>
      </c>
      <c r="C754" s="9">
        <v>1415</v>
      </c>
      <c r="D754" s="9">
        <v>10</v>
      </c>
      <c r="E754" s="9" t="s">
        <v>14</v>
      </c>
      <c r="F754" s="6" t="s">
        <v>38</v>
      </c>
      <c r="G754" s="6" t="s">
        <v>23</v>
      </c>
      <c r="H754" s="9" t="s">
        <v>824</v>
      </c>
      <c r="I754" s="6" t="s">
        <v>1404</v>
      </c>
      <c r="J754" s="6" t="s">
        <v>7</v>
      </c>
      <c r="K754" s="6" t="s">
        <v>205</v>
      </c>
      <c r="L754" s="6" t="s">
        <v>81</v>
      </c>
    </row>
    <row r="755" spans="1:12">
      <c r="A755" s="3" t="s">
        <v>1403</v>
      </c>
      <c r="B755" s="19">
        <v>3839</v>
      </c>
      <c r="C755" s="8">
        <v>1415</v>
      </c>
      <c r="D755" s="8">
        <v>10</v>
      </c>
      <c r="E755" s="8" t="s">
        <v>14</v>
      </c>
      <c r="F755" s="4" t="s">
        <v>38</v>
      </c>
      <c r="G755" s="4" t="s">
        <v>23</v>
      </c>
      <c r="H755" s="8" t="s">
        <v>1405</v>
      </c>
      <c r="I755" s="4" t="s">
        <v>1406</v>
      </c>
      <c r="J755" s="4" t="s">
        <v>11</v>
      </c>
      <c r="K755" s="4" t="s">
        <v>120</v>
      </c>
      <c r="L755" s="4" t="s">
        <v>61</v>
      </c>
    </row>
    <row r="756" spans="1:12">
      <c r="A756" s="5" t="s">
        <v>1407</v>
      </c>
      <c r="B756" s="20">
        <v>3808</v>
      </c>
      <c r="C756" s="9">
        <v>1192</v>
      </c>
      <c r="D756" s="9">
        <v>4</v>
      </c>
      <c r="E756" s="9" t="s">
        <v>14</v>
      </c>
      <c r="F756" s="6" t="s">
        <v>40</v>
      </c>
      <c r="G756" s="6" t="s">
        <v>23</v>
      </c>
      <c r="H756" s="9" t="s">
        <v>1408</v>
      </c>
      <c r="I756" s="6" t="s">
        <v>1409</v>
      </c>
      <c r="J756" s="6" t="s">
        <v>19</v>
      </c>
      <c r="K756" s="6" t="s">
        <v>210</v>
      </c>
      <c r="L756" s="6" t="s">
        <v>31</v>
      </c>
    </row>
    <row r="757" spans="1:12">
      <c r="A757" s="3" t="s">
        <v>1352</v>
      </c>
      <c r="B757" s="19">
        <v>3793</v>
      </c>
      <c r="C757" s="8">
        <v>875</v>
      </c>
      <c r="D757" s="8">
        <v>7</v>
      </c>
      <c r="E757" s="8" t="s">
        <v>10</v>
      </c>
      <c r="F757" s="4" t="s">
        <v>34</v>
      </c>
      <c r="G757" s="4" t="s">
        <v>20</v>
      </c>
      <c r="H757" s="10">
        <v>44658</v>
      </c>
      <c r="I757" s="4" t="s">
        <v>1353</v>
      </c>
      <c r="J757" s="4" t="s">
        <v>25</v>
      </c>
      <c r="K757" s="4" t="s">
        <v>253</v>
      </c>
      <c r="L757" s="4" t="s">
        <v>66</v>
      </c>
    </row>
    <row r="758" spans="1:12">
      <c r="A758" s="5" t="s">
        <v>1410</v>
      </c>
      <c r="B758" s="20">
        <v>3776</v>
      </c>
      <c r="C758" s="9">
        <v>1100</v>
      </c>
      <c r="D758" s="9">
        <v>9</v>
      </c>
      <c r="E758" s="9" t="s">
        <v>6</v>
      </c>
      <c r="F758" s="6" t="s">
        <v>13</v>
      </c>
      <c r="G758" s="6" t="s">
        <v>20</v>
      </c>
      <c r="H758" s="9" t="s">
        <v>1411</v>
      </c>
      <c r="I758" s="6" t="s">
        <v>1412</v>
      </c>
      <c r="J758" s="6" t="s">
        <v>25</v>
      </c>
      <c r="K758" s="6" t="s">
        <v>111</v>
      </c>
      <c r="L758" s="6" t="s">
        <v>70</v>
      </c>
    </row>
    <row r="759" spans="1:12">
      <c r="A759" s="3" t="s">
        <v>1410</v>
      </c>
      <c r="B759" s="19">
        <v>3776</v>
      </c>
      <c r="C759" s="8">
        <v>1100</v>
      </c>
      <c r="D759" s="8">
        <v>9</v>
      </c>
      <c r="E759" s="8" t="s">
        <v>6</v>
      </c>
      <c r="F759" s="4" t="s">
        <v>13</v>
      </c>
      <c r="G759" s="4" t="s">
        <v>20</v>
      </c>
      <c r="H759" s="8" t="s">
        <v>1413</v>
      </c>
      <c r="I759" s="4" t="s">
        <v>1414</v>
      </c>
      <c r="J759" s="4" t="s">
        <v>15</v>
      </c>
      <c r="K759" s="4" t="s">
        <v>235</v>
      </c>
      <c r="L759" s="4" t="s">
        <v>71</v>
      </c>
    </row>
    <row r="760" spans="1:12">
      <c r="A760" s="5" t="s">
        <v>1415</v>
      </c>
      <c r="B760" s="20">
        <v>3760</v>
      </c>
      <c r="C760" s="9">
        <v>1849</v>
      </c>
      <c r="D760" s="9">
        <v>19</v>
      </c>
      <c r="E760" s="9" t="s">
        <v>10</v>
      </c>
      <c r="F760" s="6" t="s">
        <v>30</v>
      </c>
      <c r="G760" s="6" t="s">
        <v>20</v>
      </c>
      <c r="H760" s="9" t="s">
        <v>540</v>
      </c>
      <c r="I760" s="6" t="s">
        <v>1416</v>
      </c>
      <c r="J760" s="6" t="s">
        <v>22</v>
      </c>
      <c r="K760" s="6" t="s">
        <v>223</v>
      </c>
      <c r="L760" s="6" t="s">
        <v>33</v>
      </c>
    </row>
    <row r="761" spans="1:12">
      <c r="A761" s="3" t="s">
        <v>1415</v>
      </c>
      <c r="B761" s="19">
        <v>3760</v>
      </c>
      <c r="C761" s="8">
        <v>1849</v>
      </c>
      <c r="D761" s="8">
        <v>19</v>
      </c>
      <c r="E761" s="8" t="s">
        <v>10</v>
      </c>
      <c r="F761" s="4" t="s">
        <v>30</v>
      </c>
      <c r="G761" s="4" t="s">
        <v>20</v>
      </c>
      <c r="H761" s="8" t="s">
        <v>1417</v>
      </c>
      <c r="I761" s="4" t="s">
        <v>1418</v>
      </c>
      <c r="J761" s="4" t="s">
        <v>25</v>
      </c>
      <c r="K761" s="4" t="s">
        <v>129</v>
      </c>
      <c r="L761" s="4" t="s">
        <v>97</v>
      </c>
    </row>
    <row r="762" spans="1:12">
      <c r="A762" s="5" t="s">
        <v>1415</v>
      </c>
      <c r="B762" s="20">
        <v>3760</v>
      </c>
      <c r="C762" s="9">
        <v>1849</v>
      </c>
      <c r="D762" s="9">
        <v>19</v>
      </c>
      <c r="E762" s="9" t="s">
        <v>10</v>
      </c>
      <c r="F762" s="6" t="s">
        <v>30</v>
      </c>
      <c r="G762" s="6" t="s">
        <v>20</v>
      </c>
      <c r="H762" s="9" t="s">
        <v>201</v>
      </c>
      <c r="I762" s="6" t="s">
        <v>1419</v>
      </c>
      <c r="J762" s="6" t="s">
        <v>22</v>
      </c>
      <c r="K762" s="6" t="s">
        <v>223</v>
      </c>
      <c r="L762" s="6" t="s">
        <v>58</v>
      </c>
    </row>
    <row r="763" spans="1:12">
      <c r="A763" s="3" t="s">
        <v>1415</v>
      </c>
      <c r="B763" s="19">
        <v>3760</v>
      </c>
      <c r="C763" s="8">
        <v>1849</v>
      </c>
      <c r="D763" s="8">
        <v>19</v>
      </c>
      <c r="E763" s="8" t="s">
        <v>10</v>
      </c>
      <c r="F763" s="4" t="s">
        <v>30</v>
      </c>
      <c r="G763" s="4" t="s">
        <v>20</v>
      </c>
      <c r="H763" s="10">
        <v>45513</v>
      </c>
      <c r="I763" s="4" t="s">
        <v>1420</v>
      </c>
      <c r="J763" s="4" t="s">
        <v>19</v>
      </c>
      <c r="K763" s="4" t="s">
        <v>108</v>
      </c>
      <c r="L763" s="4" t="s">
        <v>92</v>
      </c>
    </row>
    <row r="764" spans="1:12">
      <c r="A764" s="3" t="s">
        <v>1024</v>
      </c>
      <c r="B764" s="19">
        <v>3757</v>
      </c>
      <c r="C764" s="8">
        <v>1626</v>
      </c>
      <c r="D764" s="8">
        <v>9</v>
      </c>
      <c r="E764" s="8" t="s">
        <v>14</v>
      </c>
      <c r="F764" s="4" t="s">
        <v>42</v>
      </c>
      <c r="G764" s="4" t="s">
        <v>23</v>
      </c>
      <c r="H764" s="8" t="s">
        <v>1025</v>
      </c>
      <c r="I764" s="4" t="s">
        <v>1026</v>
      </c>
      <c r="J764" s="4" t="s">
        <v>22</v>
      </c>
      <c r="K764" s="4" t="s">
        <v>223</v>
      </c>
      <c r="L764" s="4" t="s">
        <v>47</v>
      </c>
    </row>
    <row r="765" spans="1:12">
      <c r="A765" s="5" t="s">
        <v>1024</v>
      </c>
      <c r="B765" s="20">
        <v>3757</v>
      </c>
      <c r="C765" s="9">
        <v>1626</v>
      </c>
      <c r="D765" s="9">
        <v>9</v>
      </c>
      <c r="E765" s="9" t="s">
        <v>14</v>
      </c>
      <c r="F765" s="6" t="s">
        <v>42</v>
      </c>
      <c r="G765" s="6" t="s">
        <v>23</v>
      </c>
      <c r="H765" s="9" t="s">
        <v>109</v>
      </c>
      <c r="I765" s="6" t="s">
        <v>1027</v>
      </c>
      <c r="J765" s="6" t="s">
        <v>22</v>
      </c>
      <c r="K765" s="6" t="s">
        <v>117</v>
      </c>
      <c r="L765" s="6" t="s">
        <v>63</v>
      </c>
    </row>
    <row r="766" spans="1:12">
      <c r="A766" s="3" t="s">
        <v>1024</v>
      </c>
      <c r="B766" s="19">
        <v>3757</v>
      </c>
      <c r="C766" s="8">
        <v>1626</v>
      </c>
      <c r="D766" s="8">
        <v>9</v>
      </c>
      <c r="E766" s="8" t="s">
        <v>14</v>
      </c>
      <c r="F766" s="4" t="s">
        <v>42</v>
      </c>
      <c r="G766" s="4" t="s">
        <v>23</v>
      </c>
      <c r="H766" s="10">
        <v>45050</v>
      </c>
      <c r="I766" s="4" t="s">
        <v>1028</v>
      </c>
      <c r="J766" s="4" t="s">
        <v>15</v>
      </c>
      <c r="K766" s="4" t="s">
        <v>132</v>
      </c>
      <c r="L766" s="4" t="s">
        <v>75</v>
      </c>
    </row>
    <row r="767" spans="1:12">
      <c r="A767" s="3" t="s">
        <v>1421</v>
      </c>
      <c r="B767" s="19">
        <v>3756</v>
      </c>
      <c r="C767" s="8">
        <v>1318</v>
      </c>
      <c r="D767" s="8">
        <v>5</v>
      </c>
      <c r="E767" s="8" t="s">
        <v>10</v>
      </c>
      <c r="F767" s="4" t="s">
        <v>34</v>
      </c>
      <c r="G767" s="4" t="s">
        <v>23</v>
      </c>
      <c r="H767" s="8" t="s">
        <v>1422</v>
      </c>
      <c r="I767" s="4" t="s">
        <v>1423</v>
      </c>
      <c r="J767" s="4" t="s">
        <v>11</v>
      </c>
      <c r="K767" s="4" t="s">
        <v>156</v>
      </c>
      <c r="L767" s="4" t="s">
        <v>85</v>
      </c>
    </row>
    <row r="768" spans="1:12">
      <c r="A768" s="5" t="s">
        <v>1424</v>
      </c>
      <c r="B768" s="20">
        <v>3747</v>
      </c>
      <c r="C768" s="9">
        <v>410</v>
      </c>
      <c r="D768" s="9">
        <v>5</v>
      </c>
      <c r="E768" s="9" t="s">
        <v>14</v>
      </c>
      <c r="F768" s="6" t="s">
        <v>40</v>
      </c>
      <c r="G768" s="6" t="s">
        <v>12</v>
      </c>
      <c r="H768" s="11">
        <v>44172</v>
      </c>
      <c r="I768" s="6" t="s">
        <v>1425</v>
      </c>
      <c r="J768" s="6" t="s">
        <v>15</v>
      </c>
      <c r="K768" s="6" t="s">
        <v>171</v>
      </c>
      <c r="L768" s="6" t="s">
        <v>37</v>
      </c>
    </row>
    <row r="769" spans="1:12">
      <c r="A769" s="3" t="s">
        <v>1424</v>
      </c>
      <c r="B769" s="19">
        <v>3747</v>
      </c>
      <c r="C769" s="8">
        <v>410</v>
      </c>
      <c r="D769" s="8">
        <v>5</v>
      </c>
      <c r="E769" s="8" t="s">
        <v>14</v>
      </c>
      <c r="F769" s="4" t="s">
        <v>40</v>
      </c>
      <c r="G769" s="4" t="s">
        <v>12</v>
      </c>
      <c r="H769" s="10">
        <v>44785</v>
      </c>
      <c r="I769" s="4" t="s">
        <v>1426</v>
      </c>
      <c r="J769" s="4" t="s">
        <v>19</v>
      </c>
      <c r="K769" s="4" t="s">
        <v>126</v>
      </c>
      <c r="L769" s="4" t="s">
        <v>71</v>
      </c>
    </row>
    <row r="770" spans="1:12">
      <c r="A770" s="5" t="s">
        <v>1424</v>
      </c>
      <c r="B770" s="20">
        <v>3747</v>
      </c>
      <c r="C770" s="9">
        <v>410</v>
      </c>
      <c r="D770" s="9">
        <v>5</v>
      </c>
      <c r="E770" s="9" t="s">
        <v>14</v>
      </c>
      <c r="F770" s="6" t="s">
        <v>40</v>
      </c>
      <c r="G770" s="6" t="s">
        <v>12</v>
      </c>
      <c r="H770" s="9" t="s">
        <v>1427</v>
      </c>
      <c r="I770" s="6" t="s">
        <v>1428</v>
      </c>
      <c r="J770" s="6" t="s">
        <v>22</v>
      </c>
      <c r="K770" s="6" t="s">
        <v>179</v>
      </c>
      <c r="L770" s="6" t="s">
        <v>86</v>
      </c>
    </row>
    <row r="771" spans="1:12">
      <c r="A771" s="3" t="s">
        <v>1424</v>
      </c>
      <c r="B771" s="19">
        <v>3747</v>
      </c>
      <c r="C771" s="8">
        <v>410</v>
      </c>
      <c r="D771" s="8">
        <v>5</v>
      </c>
      <c r="E771" s="8" t="s">
        <v>14</v>
      </c>
      <c r="F771" s="4" t="s">
        <v>40</v>
      </c>
      <c r="G771" s="4" t="s">
        <v>12</v>
      </c>
      <c r="H771" s="8" t="s">
        <v>1429</v>
      </c>
      <c r="I771" s="4" t="s">
        <v>1430</v>
      </c>
      <c r="J771" s="4" t="s">
        <v>15</v>
      </c>
      <c r="K771" s="4" t="s">
        <v>132</v>
      </c>
      <c r="L771" s="4" t="s">
        <v>73</v>
      </c>
    </row>
    <row r="772" spans="1:12">
      <c r="A772" s="5" t="s">
        <v>1424</v>
      </c>
      <c r="B772" s="20">
        <v>3747</v>
      </c>
      <c r="C772" s="9">
        <v>410</v>
      </c>
      <c r="D772" s="9">
        <v>5</v>
      </c>
      <c r="E772" s="9" t="s">
        <v>14</v>
      </c>
      <c r="F772" s="6" t="s">
        <v>40</v>
      </c>
      <c r="G772" s="6" t="s">
        <v>12</v>
      </c>
      <c r="H772" s="9" t="s">
        <v>1431</v>
      </c>
      <c r="I772" s="6" t="s">
        <v>1432</v>
      </c>
      <c r="J772" s="6" t="s">
        <v>7</v>
      </c>
      <c r="K772" s="6" t="s">
        <v>205</v>
      </c>
      <c r="L772" s="6" t="s">
        <v>54</v>
      </c>
    </row>
    <row r="773" spans="1:12">
      <c r="A773" s="5" t="s">
        <v>806</v>
      </c>
      <c r="B773" s="20">
        <v>3731</v>
      </c>
      <c r="C773" s="9">
        <v>647</v>
      </c>
      <c r="D773" s="9">
        <v>1</v>
      </c>
      <c r="E773" s="9" t="s">
        <v>14</v>
      </c>
      <c r="F773" s="6" t="s">
        <v>44</v>
      </c>
      <c r="G773" s="6" t="s">
        <v>12</v>
      </c>
      <c r="H773" s="9" t="s">
        <v>448</v>
      </c>
      <c r="I773" s="6" t="s">
        <v>807</v>
      </c>
      <c r="J773" s="6" t="s">
        <v>15</v>
      </c>
      <c r="K773" s="6" t="s">
        <v>171</v>
      </c>
      <c r="L773" s="6" t="s">
        <v>73</v>
      </c>
    </row>
    <row r="774" spans="1:12">
      <c r="A774" s="5" t="s">
        <v>1433</v>
      </c>
      <c r="B774" s="20">
        <v>3686</v>
      </c>
      <c r="C774" s="9">
        <v>760</v>
      </c>
      <c r="D774" s="9">
        <v>20</v>
      </c>
      <c r="E774" s="9" t="s">
        <v>14</v>
      </c>
      <c r="F774" s="6" t="s">
        <v>44</v>
      </c>
      <c r="G774" s="6" t="s">
        <v>16</v>
      </c>
      <c r="H774" s="9" t="s">
        <v>524</v>
      </c>
      <c r="I774" s="6" t="s">
        <v>1434</v>
      </c>
      <c r="J774" s="6" t="s">
        <v>7</v>
      </c>
      <c r="K774" s="6" t="s">
        <v>124</v>
      </c>
      <c r="L774" s="6" t="s">
        <v>69</v>
      </c>
    </row>
    <row r="775" spans="1:12">
      <c r="A775" s="3" t="s">
        <v>1433</v>
      </c>
      <c r="B775" s="19">
        <v>3686</v>
      </c>
      <c r="C775" s="8">
        <v>760</v>
      </c>
      <c r="D775" s="8">
        <v>20</v>
      </c>
      <c r="E775" s="8" t="s">
        <v>14</v>
      </c>
      <c r="F775" s="4" t="s">
        <v>44</v>
      </c>
      <c r="G775" s="4" t="s">
        <v>16</v>
      </c>
      <c r="H775" s="8" t="s">
        <v>961</v>
      </c>
      <c r="I775" s="4" t="s">
        <v>1435</v>
      </c>
      <c r="J775" s="4" t="s">
        <v>22</v>
      </c>
      <c r="K775" s="4" t="s">
        <v>179</v>
      </c>
      <c r="L775" s="4" t="s">
        <v>60</v>
      </c>
    </row>
    <row r="776" spans="1:12">
      <c r="A776" s="3" t="s">
        <v>1436</v>
      </c>
      <c r="B776" s="19">
        <v>3669</v>
      </c>
      <c r="C776" s="8">
        <v>154</v>
      </c>
      <c r="D776" s="8">
        <v>14</v>
      </c>
      <c r="E776" s="8" t="s">
        <v>14</v>
      </c>
      <c r="F776" s="4" t="s">
        <v>40</v>
      </c>
      <c r="G776" s="4" t="s">
        <v>20</v>
      </c>
      <c r="H776" s="8" t="s">
        <v>1437</v>
      </c>
      <c r="I776" s="4" t="s">
        <v>1438</v>
      </c>
      <c r="J776" s="4" t="s">
        <v>22</v>
      </c>
      <c r="K776" s="4" t="s">
        <v>179</v>
      </c>
      <c r="L776" s="4" t="s">
        <v>84</v>
      </c>
    </row>
    <row r="777" spans="1:12">
      <c r="A777" s="5" t="s">
        <v>1436</v>
      </c>
      <c r="B777" s="20">
        <v>3669</v>
      </c>
      <c r="C777" s="9">
        <v>154</v>
      </c>
      <c r="D777" s="9">
        <v>14</v>
      </c>
      <c r="E777" s="9" t="s">
        <v>14</v>
      </c>
      <c r="F777" s="6" t="s">
        <v>40</v>
      </c>
      <c r="G777" s="6" t="s">
        <v>20</v>
      </c>
      <c r="H777" s="9" t="s">
        <v>680</v>
      </c>
      <c r="I777" s="6" t="s">
        <v>1439</v>
      </c>
      <c r="J777" s="6" t="s">
        <v>7</v>
      </c>
      <c r="K777" s="6" t="s">
        <v>124</v>
      </c>
      <c r="L777" s="6" t="s">
        <v>71</v>
      </c>
    </row>
    <row r="778" spans="1:12">
      <c r="A778" s="3" t="s">
        <v>1440</v>
      </c>
      <c r="B778" s="19">
        <v>3665</v>
      </c>
      <c r="C778" s="8">
        <v>802</v>
      </c>
      <c r="D778" s="8">
        <v>4</v>
      </c>
      <c r="E778" s="8" t="s">
        <v>14</v>
      </c>
      <c r="F778" s="4" t="s">
        <v>40</v>
      </c>
      <c r="G778" s="4" t="s">
        <v>12</v>
      </c>
      <c r="H778" s="10">
        <v>44447</v>
      </c>
      <c r="I778" s="4" t="s">
        <v>1441</v>
      </c>
      <c r="J778" s="4" t="s">
        <v>11</v>
      </c>
      <c r="K778" s="4" t="s">
        <v>156</v>
      </c>
      <c r="L778" s="4" t="s">
        <v>55</v>
      </c>
    </row>
    <row r="779" spans="1:12">
      <c r="A779" s="5" t="s">
        <v>1440</v>
      </c>
      <c r="B779" s="20">
        <v>3665</v>
      </c>
      <c r="C779" s="9">
        <v>802</v>
      </c>
      <c r="D779" s="9">
        <v>4</v>
      </c>
      <c r="E779" s="9" t="s">
        <v>14</v>
      </c>
      <c r="F779" s="6" t="s">
        <v>40</v>
      </c>
      <c r="G779" s="6" t="s">
        <v>12</v>
      </c>
      <c r="H779" s="11">
        <v>45902</v>
      </c>
      <c r="I779" s="6" t="s">
        <v>1442</v>
      </c>
      <c r="J779" s="6" t="s">
        <v>11</v>
      </c>
      <c r="K779" s="6" t="s">
        <v>136</v>
      </c>
      <c r="L779" s="6" t="s">
        <v>97</v>
      </c>
    </row>
    <row r="780" spans="1:12">
      <c r="A780" s="3" t="s">
        <v>1443</v>
      </c>
      <c r="B780" s="19">
        <v>3661</v>
      </c>
      <c r="C780" s="8">
        <v>436</v>
      </c>
      <c r="D780" s="8">
        <v>13</v>
      </c>
      <c r="E780" s="8" t="s">
        <v>10</v>
      </c>
      <c r="F780" s="4" t="s">
        <v>32</v>
      </c>
      <c r="G780" s="4" t="s">
        <v>20</v>
      </c>
      <c r="H780" s="8" t="s">
        <v>1444</v>
      </c>
      <c r="I780" s="4" t="s">
        <v>1445</v>
      </c>
      <c r="J780" s="4" t="s">
        <v>25</v>
      </c>
      <c r="K780" s="4" t="s">
        <v>111</v>
      </c>
      <c r="L780" s="4" t="s">
        <v>72</v>
      </c>
    </row>
    <row r="781" spans="1:12">
      <c r="A781" s="3" t="s">
        <v>1446</v>
      </c>
      <c r="B781" s="19">
        <v>3659</v>
      </c>
      <c r="C781" s="8">
        <v>379</v>
      </c>
      <c r="D781" s="8">
        <v>5</v>
      </c>
      <c r="E781" s="8" t="s">
        <v>10</v>
      </c>
      <c r="F781" s="4" t="s">
        <v>28</v>
      </c>
      <c r="G781" s="4" t="s">
        <v>23</v>
      </c>
      <c r="H781" s="8" t="s">
        <v>1447</v>
      </c>
      <c r="I781" s="4" t="s">
        <v>1448</v>
      </c>
      <c r="J781" s="4" t="s">
        <v>7</v>
      </c>
      <c r="K781" s="4" t="s">
        <v>205</v>
      </c>
      <c r="L781" s="4" t="s">
        <v>89</v>
      </c>
    </row>
    <row r="782" spans="1:12">
      <c r="A782" s="5" t="s">
        <v>1449</v>
      </c>
      <c r="B782" s="20">
        <v>3657</v>
      </c>
      <c r="C782" s="9">
        <v>163</v>
      </c>
      <c r="D782" s="9">
        <v>1</v>
      </c>
      <c r="E782" s="9" t="s">
        <v>10</v>
      </c>
      <c r="F782" s="6" t="s">
        <v>32</v>
      </c>
      <c r="G782" s="6" t="s">
        <v>23</v>
      </c>
      <c r="H782" s="9" t="s">
        <v>1112</v>
      </c>
      <c r="I782" s="6" t="s">
        <v>1450</v>
      </c>
      <c r="J782" s="6" t="s">
        <v>7</v>
      </c>
      <c r="K782" s="6" t="s">
        <v>124</v>
      </c>
      <c r="L782" s="6" t="s">
        <v>52</v>
      </c>
    </row>
    <row r="783" spans="1:12">
      <c r="A783" s="5" t="s">
        <v>1451</v>
      </c>
      <c r="B783" s="20">
        <v>3577</v>
      </c>
      <c r="C783" s="9">
        <v>699</v>
      </c>
      <c r="D783" s="9">
        <v>2</v>
      </c>
      <c r="E783" s="9" t="s">
        <v>10</v>
      </c>
      <c r="F783" s="6" t="s">
        <v>34</v>
      </c>
      <c r="G783" s="6" t="s">
        <v>23</v>
      </c>
      <c r="H783" s="9" t="s">
        <v>1452</v>
      </c>
      <c r="I783" s="6" t="s">
        <v>1453</v>
      </c>
      <c r="J783" s="6" t="s">
        <v>22</v>
      </c>
      <c r="K783" s="6" t="s">
        <v>179</v>
      </c>
      <c r="L783" s="6" t="s">
        <v>48</v>
      </c>
    </row>
    <row r="784" spans="1:12">
      <c r="A784" s="3" t="s">
        <v>1451</v>
      </c>
      <c r="B784" s="19">
        <v>3577</v>
      </c>
      <c r="C784" s="8">
        <v>699</v>
      </c>
      <c r="D784" s="8">
        <v>2</v>
      </c>
      <c r="E784" s="8" t="s">
        <v>10</v>
      </c>
      <c r="F784" s="4" t="s">
        <v>34</v>
      </c>
      <c r="G784" s="4" t="s">
        <v>23</v>
      </c>
      <c r="H784" s="8" t="s">
        <v>1405</v>
      </c>
      <c r="I784" s="4" t="s">
        <v>1454</v>
      </c>
      <c r="J784" s="4" t="s">
        <v>15</v>
      </c>
      <c r="K784" s="4" t="s">
        <v>235</v>
      </c>
      <c r="L784" s="4" t="s">
        <v>61</v>
      </c>
    </row>
    <row r="785" spans="1:12">
      <c r="A785" s="5" t="s">
        <v>1455</v>
      </c>
      <c r="B785" s="20">
        <v>3574</v>
      </c>
      <c r="C785" s="9">
        <v>851</v>
      </c>
      <c r="D785" s="9">
        <v>4</v>
      </c>
      <c r="E785" s="9" t="s">
        <v>6</v>
      </c>
      <c r="F785" s="6" t="s">
        <v>24</v>
      </c>
      <c r="G785" s="6" t="s">
        <v>12</v>
      </c>
      <c r="H785" s="9" t="s">
        <v>1456</v>
      </c>
      <c r="I785" s="6" t="s">
        <v>1457</v>
      </c>
      <c r="J785" s="6" t="s">
        <v>7</v>
      </c>
      <c r="K785" s="6" t="s">
        <v>205</v>
      </c>
      <c r="L785" s="6" t="s">
        <v>61</v>
      </c>
    </row>
    <row r="786" spans="1:12">
      <c r="A786" s="3" t="s">
        <v>616</v>
      </c>
      <c r="B786" s="19">
        <v>3573</v>
      </c>
      <c r="C786" s="8">
        <v>562</v>
      </c>
      <c r="D786" s="8">
        <v>7</v>
      </c>
      <c r="E786" s="8" t="s">
        <v>14</v>
      </c>
      <c r="F786" s="4" t="s">
        <v>44</v>
      </c>
      <c r="G786" s="4" t="s">
        <v>20</v>
      </c>
      <c r="H786" s="10">
        <v>44905</v>
      </c>
      <c r="I786" s="4" t="s">
        <v>617</v>
      </c>
      <c r="J786" s="4" t="s">
        <v>19</v>
      </c>
      <c r="K786" s="4" t="s">
        <v>108</v>
      </c>
      <c r="L786" s="4" t="s">
        <v>69</v>
      </c>
    </row>
    <row r="787" spans="1:12">
      <c r="A787" s="5" t="s">
        <v>616</v>
      </c>
      <c r="B787" s="20">
        <v>3573</v>
      </c>
      <c r="C787" s="9">
        <v>562</v>
      </c>
      <c r="D787" s="9">
        <v>7</v>
      </c>
      <c r="E787" s="9" t="s">
        <v>14</v>
      </c>
      <c r="F787" s="6" t="s">
        <v>44</v>
      </c>
      <c r="G787" s="6" t="s">
        <v>20</v>
      </c>
      <c r="H787" s="9" t="s">
        <v>618</v>
      </c>
      <c r="I787" s="6" t="s">
        <v>619</v>
      </c>
      <c r="J787" s="6" t="s">
        <v>7</v>
      </c>
      <c r="K787" s="6" t="s">
        <v>162</v>
      </c>
      <c r="L787" s="6" t="s">
        <v>33</v>
      </c>
    </row>
    <row r="788" spans="1:12">
      <c r="A788" s="3" t="s">
        <v>616</v>
      </c>
      <c r="B788" s="19">
        <v>3573</v>
      </c>
      <c r="C788" s="8">
        <v>562</v>
      </c>
      <c r="D788" s="8">
        <v>7</v>
      </c>
      <c r="E788" s="8" t="s">
        <v>14</v>
      </c>
      <c r="F788" s="4" t="s">
        <v>44</v>
      </c>
      <c r="G788" s="4" t="s">
        <v>20</v>
      </c>
      <c r="H788" s="8" t="s">
        <v>350</v>
      </c>
      <c r="I788" s="4" t="s">
        <v>620</v>
      </c>
      <c r="J788" s="4" t="s">
        <v>11</v>
      </c>
      <c r="K788" s="4" t="s">
        <v>136</v>
      </c>
      <c r="L788" s="4" t="s">
        <v>31</v>
      </c>
    </row>
    <row r="789" spans="1:12">
      <c r="A789" s="3" t="s">
        <v>1458</v>
      </c>
      <c r="B789" s="19">
        <v>3560</v>
      </c>
      <c r="C789" s="8">
        <v>1335</v>
      </c>
      <c r="D789" s="8">
        <v>15</v>
      </c>
      <c r="E789" s="8" t="s">
        <v>6</v>
      </c>
      <c r="F789" s="4" t="s">
        <v>13</v>
      </c>
      <c r="G789" s="4" t="s">
        <v>8</v>
      </c>
      <c r="H789" s="8" t="s">
        <v>612</v>
      </c>
      <c r="I789" s="4" t="s">
        <v>1459</v>
      </c>
      <c r="J789" s="4" t="s">
        <v>19</v>
      </c>
      <c r="K789" s="4" t="s">
        <v>210</v>
      </c>
      <c r="L789" s="4" t="s">
        <v>31</v>
      </c>
    </row>
    <row r="790" spans="1:12">
      <c r="A790" s="5" t="s">
        <v>1458</v>
      </c>
      <c r="B790" s="20">
        <v>3560</v>
      </c>
      <c r="C790" s="9">
        <v>1335</v>
      </c>
      <c r="D790" s="9">
        <v>15</v>
      </c>
      <c r="E790" s="9" t="s">
        <v>6</v>
      </c>
      <c r="F790" s="6" t="s">
        <v>13</v>
      </c>
      <c r="G790" s="6" t="s">
        <v>8</v>
      </c>
      <c r="H790" s="9" t="s">
        <v>1460</v>
      </c>
      <c r="I790" s="6" t="s">
        <v>1461</v>
      </c>
      <c r="J790" s="6" t="s">
        <v>15</v>
      </c>
      <c r="K790" s="6" t="s">
        <v>171</v>
      </c>
      <c r="L790" s="6" t="s">
        <v>74</v>
      </c>
    </row>
    <row r="791" spans="1:12">
      <c r="A791" s="5" t="s">
        <v>1462</v>
      </c>
      <c r="B791" s="20">
        <v>3522</v>
      </c>
      <c r="C791" s="9">
        <v>898</v>
      </c>
      <c r="D791" s="9">
        <v>15</v>
      </c>
      <c r="E791" s="9" t="s">
        <v>14</v>
      </c>
      <c r="F791" s="6" t="s">
        <v>44</v>
      </c>
      <c r="G791" s="6" t="s">
        <v>12</v>
      </c>
      <c r="H791" s="9" t="s">
        <v>1463</v>
      </c>
      <c r="I791" s="6" t="s">
        <v>1464</v>
      </c>
      <c r="J791" s="6" t="s">
        <v>22</v>
      </c>
      <c r="K791" s="6" t="s">
        <v>117</v>
      </c>
      <c r="L791" s="6" t="s">
        <v>91</v>
      </c>
    </row>
    <row r="792" spans="1:12">
      <c r="A792" s="3" t="s">
        <v>1462</v>
      </c>
      <c r="B792" s="19">
        <v>3522</v>
      </c>
      <c r="C792" s="8">
        <v>898</v>
      </c>
      <c r="D792" s="8">
        <v>15</v>
      </c>
      <c r="E792" s="8" t="s">
        <v>14</v>
      </c>
      <c r="F792" s="4" t="s">
        <v>44</v>
      </c>
      <c r="G792" s="4" t="s">
        <v>12</v>
      </c>
      <c r="H792" s="8" t="s">
        <v>545</v>
      </c>
      <c r="I792" s="4" t="s">
        <v>1465</v>
      </c>
      <c r="J792" s="4" t="s">
        <v>7</v>
      </c>
      <c r="K792" s="4" t="s">
        <v>205</v>
      </c>
      <c r="L792" s="4" t="s">
        <v>60</v>
      </c>
    </row>
    <row r="793" spans="1:12">
      <c r="A793" s="5" t="s">
        <v>1350</v>
      </c>
      <c r="B793" s="20">
        <v>3518</v>
      </c>
      <c r="C793" s="9">
        <v>1051</v>
      </c>
      <c r="D793" s="9">
        <v>3</v>
      </c>
      <c r="E793" s="9" t="s">
        <v>10</v>
      </c>
      <c r="F793" s="6" t="s">
        <v>28</v>
      </c>
      <c r="G793" s="6" t="s">
        <v>23</v>
      </c>
      <c r="H793" s="11">
        <v>44113</v>
      </c>
      <c r="I793" s="6" t="s">
        <v>1351</v>
      </c>
      <c r="J793" s="6" t="s">
        <v>7</v>
      </c>
      <c r="K793" s="6" t="s">
        <v>124</v>
      </c>
      <c r="L793" s="6" t="s">
        <v>41</v>
      </c>
    </row>
    <row r="794" spans="1:12">
      <c r="A794" s="5" t="s">
        <v>1466</v>
      </c>
      <c r="B794" s="20">
        <v>3482</v>
      </c>
      <c r="C794" s="9">
        <v>1554</v>
      </c>
      <c r="D794" s="9">
        <v>15</v>
      </c>
      <c r="E794" s="9" t="s">
        <v>6</v>
      </c>
      <c r="F794" s="6" t="s">
        <v>17</v>
      </c>
      <c r="G794" s="6" t="s">
        <v>16</v>
      </c>
      <c r="H794" s="11">
        <v>44083</v>
      </c>
      <c r="I794" s="6" t="s">
        <v>1467</v>
      </c>
      <c r="J794" s="6" t="s">
        <v>22</v>
      </c>
      <c r="K794" s="6" t="s">
        <v>179</v>
      </c>
      <c r="L794" s="6" t="s">
        <v>41</v>
      </c>
    </row>
    <row r="795" spans="1:12">
      <c r="A795" s="3" t="s">
        <v>1126</v>
      </c>
      <c r="B795" s="19">
        <v>3479</v>
      </c>
      <c r="C795" s="8">
        <v>1087</v>
      </c>
      <c r="D795" s="8">
        <v>2</v>
      </c>
      <c r="E795" s="8" t="s">
        <v>14</v>
      </c>
      <c r="F795" s="4" t="s">
        <v>40</v>
      </c>
      <c r="G795" s="4" t="s">
        <v>20</v>
      </c>
      <c r="H795" s="8" t="s">
        <v>1127</v>
      </c>
      <c r="I795" s="4" t="s">
        <v>1128</v>
      </c>
      <c r="J795" s="4" t="s">
        <v>25</v>
      </c>
      <c r="K795" s="4" t="s">
        <v>129</v>
      </c>
      <c r="L795" s="4" t="s">
        <v>93</v>
      </c>
    </row>
    <row r="796" spans="1:12">
      <c r="A796" s="5" t="s">
        <v>1086</v>
      </c>
      <c r="B796" s="20">
        <v>3461</v>
      </c>
      <c r="C796" s="9">
        <v>1537</v>
      </c>
      <c r="D796" s="9">
        <v>15</v>
      </c>
      <c r="E796" s="9" t="s">
        <v>10</v>
      </c>
      <c r="F796" s="6" t="s">
        <v>32</v>
      </c>
      <c r="G796" s="6" t="s">
        <v>20</v>
      </c>
      <c r="H796" s="9" t="s">
        <v>1087</v>
      </c>
      <c r="I796" s="6" t="s">
        <v>1088</v>
      </c>
      <c r="J796" s="6" t="s">
        <v>15</v>
      </c>
      <c r="K796" s="6" t="s">
        <v>132</v>
      </c>
      <c r="L796" s="6" t="s">
        <v>91</v>
      </c>
    </row>
    <row r="797" spans="1:12">
      <c r="A797" s="5" t="s">
        <v>1468</v>
      </c>
      <c r="B797" s="20">
        <v>3451</v>
      </c>
      <c r="C797" s="9">
        <v>658</v>
      </c>
      <c r="D797" s="9">
        <v>3</v>
      </c>
      <c r="E797" s="9" t="s">
        <v>14</v>
      </c>
      <c r="F797" s="6" t="s">
        <v>40</v>
      </c>
      <c r="G797" s="6" t="s">
        <v>23</v>
      </c>
      <c r="H797" s="9" t="s">
        <v>1469</v>
      </c>
      <c r="I797" s="6" t="s">
        <v>1470</v>
      </c>
      <c r="J797" s="6" t="s">
        <v>15</v>
      </c>
      <c r="K797" s="6" t="s">
        <v>132</v>
      </c>
      <c r="L797" s="6" t="s">
        <v>95</v>
      </c>
    </row>
    <row r="798" spans="1:12">
      <c r="A798" s="3" t="s">
        <v>196</v>
      </c>
      <c r="B798" s="19">
        <v>3445</v>
      </c>
      <c r="C798" s="8">
        <v>1405</v>
      </c>
      <c r="D798" s="8">
        <v>16</v>
      </c>
      <c r="E798" s="8" t="s">
        <v>10</v>
      </c>
      <c r="F798" s="4" t="s">
        <v>32</v>
      </c>
      <c r="G798" s="4" t="s">
        <v>20</v>
      </c>
      <c r="H798" s="8" t="s">
        <v>197</v>
      </c>
      <c r="I798" s="4" t="s">
        <v>198</v>
      </c>
      <c r="J798" s="4" t="s">
        <v>7</v>
      </c>
      <c r="K798" s="4" t="s">
        <v>124</v>
      </c>
      <c r="L798" s="4" t="s">
        <v>41</v>
      </c>
    </row>
    <row r="799" spans="1:12">
      <c r="A799" s="3" t="s">
        <v>1471</v>
      </c>
      <c r="B799" s="19">
        <v>3436</v>
      </c>
      <c r="C799" s="8">
        <v>933</v>
      </c>
      <c r="D799" s="8">
        <v>3</v>
      </c>
      <c r="E799" s="8" t="s">
        <v>6</v>
      </c>
      <c r="F799" s="4" t="s">
        <v>13</v>
      </c>
      <c r="G799" s="4" t="s">
        <v>12</v>
      </c>
      <c r="H799" s="8" t="s">
        <v>362</v>
      </c>
      <c r="I799" s="4" t="s">
        <v>1472</v>
      </c>
      <c r="J799" s="4" t="s">
        <v>25</v>
      </c>
      <c r="K799" s="4" t="s">
        <v>129</v>
      </c>
      <c r="L799" s="4" t="s">
        <v>53</v>
      </c>
    </row>
    <row r="800" spans="1:12">
      <c r="A800" s="5" t="s">
        <v>1392</v>
      </c>
      <c r="B800" s="20">
        <v>3433</v>
      </c>
      <c r="C800" s="9">
        <v>1169</v>
      </c>
      <c r="D800" s="9">
        <v>10</v>
      </c>
      <c r="E800" s="9" t="s">
        <v>14</v>
      </c>
      <c r="F800" s="6" t="s">
        <v>38</v>
      </c>
      <c r="G800" s="6" t="s">
        <v>8</v>
      </c>
      <c r="H800" s="11">
        <v>45293</v>
      </c>
      <c r="I800" s="6" t="s">
        <v>1393</v>
      </c>
      <c r="J800" s="6" t="s">
        <v>7</v>
      </c>
      <c r="K800" s="6" t="s">
        <v>124</v>
      </c>
      <c r="L800" s="6" t="s">
        <v>85</v>
      </c>
    </row>
    <row r="801" spans="1:12">
      <c r="A801" s="3" t="s">
        <v>1392</v>
      </c>
      <c r="B801" s="19">
        <v>3433</v>
      </c>
      <c r="C801" s="8">
        <v>1169</v>
      </c>
      <c r="D801" s="8">
        <v>10</v>
      </c>
      <c r="E801" s="8" t="s">
        <v>14</v>
      </c>
      <c r="F801" s="4" t="s">
        <v>38</v>
      </c>
      <c r="G801" s="4" t="s">
        <v>8</v>
      </c>
      <c r="H801" s="10">
        <v>44448</v>
      </c>
      <c r="I801" s="4" t="s">
        <v>1394</v>
      </c>
      <c r="J801" s="4" t="s">
        <v>15</v>
      </c>
      <c r="K801" s="4" t="s">
        <v>171</v>
      </c>
      <c r="L801" s="4" t="s">
        <v>56</v>
      </c>
    </row>
    <row r="802" spans="1:12">
      <c r="A802" s="5" t="s">
        <v>1392</v>
      </c>
      <c r="B802" s="20">
        <v>3433</v>
      </c>
      <c r="C802" s="9">
        <v>1169</v>
      </c>
      <c r="D802" s="9">
        <v>10</v>
      </c>
      <c r="E802" s="9" t="s">
        <v>14</v>
      </c>
      <c r="F802" s="6" t="s">
        <v>38</v>
      </c>
      <c r="G802" s="6" t="s">
        <v>8</v>
      </c>
      <c r="H802" s="11">
        <v>44417</v>
      </c>
      <c r="I802" s="6" t="s">
        <v>1395</v>
      </c>
      <c r="J802" s="6" t="s">
        <v>7</v>
      </c>
      <c r="K802" s="6" t="s">
        <v>162</v>
      </c>
      <c r="L802" s="6" t="s">
        <v>56</v>
      </c>
    </row>
    <row r="803" spans="1:12">
      <c r="A803" s="5" t="s">
        <v>806</v>
      </c>
      <c r="B803" s="20">
        <v>3428</v>
      </c>
      <c r="C803" s="9">
        <v>350</v>
      </c>
      <c r="D803" s="9">
        <v>1</v>
      </c>
      <c r="E803" s="9" t="s">
        <v>10</v>
      </c>
      <c r="F803" s="6" t="s">
        <v>30</v>
      </c>
      <c r="G803" s="6" t="s">
        <v>12</v>
      </c>
      <c r="H803" s="9" t="s">
        <v>448</v>
      </c>
      <c r="I803" s="6" t="s">
        <v>807</v>
      </c>
      <c r="J803" s="6" t="s">
        <v>15</v>
      </c>
      <c r="K803" s="6" t="s">
        <v>171</v>
      </c>
      <c r="L803" s="6" t="s">
        <v>73</v>
      </c>
    </row>
    <row r="804" spans="1:12">
      <c r="A804" s="3" t="s">
        <v>1473</v>
      </c>
      <c r="B804" s="19">
        <v>3423</v>
      </c>
      <c r="C804" s="8">
        <v>804</v>
      </c>
      <c r="D804" s="8">
        <v>4</v>
      </c>
      <c r="E804" s="8" t="s">
        <v>6</v>
      </c>
      <c r="F804" s="4" t="s">
        <v>24</v>
      </c>
      <c r="G804" s="4" t="s">
        <v>12</v>
      </c>
      <c r="H804" s="10">
        <v>44081</v>
      </c>
      <c r="I804" s="4" t="s">
        <v>1474</v>
      </c>
      <c r="J804" s="4" t="s">
        <v>15</v>
      </c>
      <c r="K804" s="4" t="s">
        <v>235</v>
      </c>
      <c r="L804" s="4" t="s">
        <v>37</v>
      </c>
    </row>
    <row r="805" spans="1:12">
      <c r="A805" s="5" t="s">
        <v>1473</v>
      </c>
      <c r="B805" s="20">
        <v>3423</v>
      </c>
      <c r="C805" s="9">
        <v>804</v>
      </c>
      <c r="D805" s="9">
        <v>4</v>
      </c>
      <c r="E805" s="9" t="s">
        <v>6</v>
      </c>
      <c r="F805" s="6" t="s">
        <v>24</v>
      </c>
      <c r="G805" s="6" t="s">
        <v>12</v>
      </c>
      <c r="H805" s="9" t="s">
        <v>1475</v>
      </c>
      <c r="I805" s="6" t="s">
        <v>1476</v>
      </c>
      <c r="J805" s="6" t="s">
        <v>25</v>
      </c>
      <c r="K805" s="6" t="s">
        <v>129</v>
      </c>
      <c r="L805" s="6" t="s">
        <v>37</v>
      </c>
    </row>
    <row r="806" spans="1:12">
      <c r="A806" s="3" t="s">
        <v>1473</v>
      </c>
      <c r="B806" s="19">
        <v>3423</v>
      </c>
      <c r="C806" s="8">
        <v>804</v>
      </c>
      <c r="D806" s="8">
        <v>4</v>
      </c>
      <c r="E806" s="8" t="s">
        <v>6</v>
      </c>
      <c r="F806" s="4" t="s">
        <v>24</v>
      </c>
      <c r="G806" s="4" t="s">
        <v>12</v>
      </c>
      <c r="H806" s="8" t="s">
        <v>1477</v>
      </c>
      <c r="I806" s="4" t="s">
        <v>1478</v>
      </c>
      <c r="J806" s="4" t="s">
        <v>25</v>
      </c>
      <c r="K806" s="4" t="s">
        <v>111</v>
      </c>
      <c r="L806" s="4" t="s">
        <v>84</v>
      </c>
    </row>
    <row r="807" spans="1:12">
      <c r="A807" s="5" t="s">
        <v>1473</v>
      </c>
      <c r="B807" s="20">
        <v>3423</v>
      </c>
      <c r="C807" s="9">
        <v>804</v>
      </c>
      <c r="D807" s="9">
        <v>4</v>
      </c>
      <c r="E807" s="9" t="s">
        <v>6</v>
      </c>
      <c r="F807" s="6" t="s">
        <v>24</v>
      </c>
      <c r="G807" s="6" t="s">
        <v>12</v>
      </c>
      <c r="H807" s="11">
        <v>43926</v>
      </c>
      <c r="I807" s="6" t="s">
        <v>1479</v>
      </c>
      <c r="J807" s="6" t="s">
        <v>25</v>
      </c>
      <c r="K807" s="6" t="s">
        <v>129</v>
      </c>
      <c r="L807" s="6" t="s">
        <v>33</v>
      </c>
    </row>
    <row r="808" spans="1:12">
      <c r="A808" s="3" t="s">
        <v>1473</v>
      </c>
      <c r="B808" s="19">
        <v>3423</v>
      </c>
      <c r="C808" s="8">
        <v>804</v>
      </c>
      <c r="D808" s="8">
        <v>4</v>
      </c>
      <c r="E808" s="8" t="s">
        <v>6</v>
      </c>
      <c r="F808" s="4" t="s">
        <v>24</v>
      </c>
      <c r="G808" s="4" t="s">
        <v>12</v>
      </c>
      <c r="H808" s="8" t="s">
        <v>893</v>
      </c>
      <c r="I808" s="4" t="s">
        <v>1480</v>
      </c>
      <c r="J808" s="4" t="s">
        <v>22</v>
      </c>
      <c r="K808" s="4" t="s">
        <v>223</v>
      </c>
      <c r="L808" s="4" t="s">
        <v>58</v>
      </c>
    </row>
    <row r="809" spans="1:12">
      <c r="A809" s="3" t="s">
        <v>1481</v>
      </c>
      <c r="B809" s="19">
        <v>3411</v>
      </c>
      <c r="C809" s="8">
        <v>1704</v>
      </c>
      <c r="D809" s="8">
        <v>14</v>
      </c>
      <c r="E809" s="8" t="s">
        <v>14</v>
      </c>
      <c r="F809" s="4" t="s">
        <v>44</v>
      </c>
      <c r="G809" s="4" t="s">
        <v>23</v>
      </c>
      <c r="H809" s="10">
        <v>45962</v>
      </c>
      <c r="I809" s="4" t="s">
        <v>1482</v>
      </c>
      <c r="J809" s="4" t="s">
        <v>7</v>
      </c>
      <c r="K809" s="4" t="s">
        <v>205</v>
      </c>
      <c r="L809" s="4" t="s">
        <v>96</v>
      </c>
    </row>
    <row r="810" spans="1:12">
      <c r="A810" s="5" t="s">
        <v>740</v>
      </c>
      <c r="B810" s="20">
        <v>3409</v>
      </c>
      <c r="C810" s="9">
        <v>1605</v>
      </c>
      <c r="D810" s="9">
        <v>20</v>
      </c>
      <c r="E810" s="9" t="s">
        <v>6</v>
      </c>
      <c r="F810" s="6" t="s">
        <v>13</v>
      </c>
      <c r="G810" s="6" t="s">
        <v>23</v>
      </c>
      <c r="H810" s="9" t="s">
        <v>537</v>
      </c>
      <c r="I810" s="6" t="s">
        <v>741</v>
      </c>
      <c r="J810" s="6" t="s">
        <v>11</v>
      </c>
      <c r="K810" s="6" t="s">
        <v>136</v>
      </c>
      <c r="L810" s="6" t="s">
        <v>89</v>
      </c>
    </row>
    <row r="811" spans="1:12">
      <c r="A811" s="3" t="s">
        <v>740</v>
      </c>
      <c r="B811" s="19">
        <v>3409</v>
      </c>
      <c r="C811" s="8">
        <v>1605</v>
      </c>
      <c r="D811" s="8">
        <v>20</v>
      </c>
      <c r="E811" s="8" t="s">
        <v>6</v>
      </c>
      <c r="F811" s="4" t="s">
        <v>13</v>
      </c>
      <c r="G811" s="4" t="s">
        <v>23</v>
      </c>
      <c r="H811" s="8" t="s">
        <v>742</v>
      </c>
      <c r="I811" s="4" t="s">
        <v>743</v>
      </c>
      <c r="J811" s="4" t="s">
        <v>15</v>
      </c>
      <c r="K811" s="4" t="s">
        <v>235</v>
      </c>
      <c r="L811" s="4" t="s">
        <v>45</v>
      </c>
    </row>
    <row r="812" spans="1:12">
      <c r="A812" s="5" t="s">
        <v>740</v>
      </c>
      <c r="B812" s="20">
        <v>3409</v>
      </c>
      <c r="C812" s="9">
        <v>1605</v>
      </c>
      <c r="D812" s="9">
        <v>20</v>
      </c>
      <c r="E812" s="9" t="s">
        <v>6</v>
      </c>
      <c r="F812" s="6" t="s">
        <v>13</v>
      </c>
      <c r="G812" s="6" t="s">
        <v>23</v>
      </c>
      <c r="H812" s="11">
        <v>45301</v>
      </c>
      <c r="I812" s="6" t="s">
        <v>744</v>
      </c>
      <c r="J812" s="6" t="s">
        <v>11</v>
      </c>
      <c r="K812" s="6" t="s">
        <v>156</v>
      </c>
      <c r="L812" s="6" t="s">
        <v>93</v>
      </c>
    </row>
    <row r="813" spans="1:12">
      <c r="A813" s="3" t="s">
        <v>740</v>
      </c>
      <c r="B813" s="19">
        <v>3409</v>
      </c>
      <c r="C813" s="8">
        <v>1605</v>
      </c>
      <c r="D813" s="8">
        <v>20</v>
      </c>
      <c r="E813" s="8" t="s">
        <v>6</v>
      </c>
      <c r="F813" s="4" t="s">
        <v>13</v>
      </c>
      <c r="G813" s="4" t="s">
        <v>23</v>
      </c>
      <c r="H813" s="10">
        <v>45298</v>
      </c>
      <c r="I813" s="4" t="s">
        <v>745</v>
      </c>
      <c r="J813" s="4" t="s">
        <v>25</v>
      </c>
      <c r="K813" s="4" t="s">
        <v>253</v>
      </c>
      <c r="L813" s="4" t="s">
        <v>90</v>
      </c>
    </row>
    <row r="814" spans="1:12">
      <c r="A814" s="3" t="s">
        <v>426</v>
      </c>
      <c r="B814" s="19">
        <v>3348</v>
      </c>
      <c r="C814" s="8">
        <v>568</v>
      </c>
      <c r="D814" s="8">
        <v>5</v>
      </c>
      <c r="E814" s="8" t="s">
        <v>14</v>
      </c>
      <c r="F814" s="4" t="s">
        <v>40</v>
      </c>
      <c r="G814" s="4" t="s">
        <v>12</v>
      </c>
      <c r="H814" s="10">
        <v>45325</v>
      </c>
      <c r="I814" s="4" t="s">
        <v>427</v>
      </c>
      <c r="J814" s="4" t="s">
        <v>22</v>
      </c>
      <c r="K814" s="4" t="s">
        <v>117</v>
      </c>
      <c r="L814" s="4" t="s">
        <v>86</v>
      </c>
    </row>
    <row r="815" spans="1:12">
      <c r="A815" s="5" t="s">
        <v>426</v>
      </c>
      <c r="B815" s="20">
        <v>3348</v>
      </c>
      <c r="C815" s="9">
        <v>568</v>
      </c>
      <c r="D815" s="9">
        <v>5</v>
      </c>
      <c r="E815" s="9" t="s">
        <v>14</v>
      </c>
      <c r="F815" s="6" t="s">
        <v>40</v>
      </c>
      <c r="G815" s="6" t="s">
        <v>12</v>
      </c>
      <c r="H815" s="9" t="s">
        <v>428</v>
      </c>
      <c r="I815" s="6" t="s">
        <v>429</v>
      </c>
      <c r="J815" s="6" t="s">
        <v>19</v>
      </c>
      <c r="K815" s="6" t="s">
        <v>108</v>
      </c>
      <c r="L815" s="6" t="s">
        <v>51</v>
      </c>
    </row>
    <row r="816" spans="1:12">
      <c r="A816" s="5" t="s">
        <v>1483</v>
      </c>
      <c r="B816" s="20">
        <v>3333</v>
      </c>
      <c r="C816" s="9">
        <v>700</v>
      </c>
      <c r="D816" s="9">
        <v>18</v>
      </c>
      <c r="E816" s="9" t="s">
        <v>6</v>
      </c>
      <c r="F816" s="6" t="s">
        <v>24</v>
      </c>
      <c r="G816" s="6" t="s">
        <v>8</v>
      </c>
      <c r="H816" s="9" t="s">
        <v>562</v>
      </c>
      <c r="I816" s="6" t="s">
        <v>1484</v>
      </c>
      <c r="J816" s="6" t="s">
        <v>11</v>
      </c>
      <c r="K816" s="6" t="s">
        <v>156</v>
      </c>
      <c r="L816" s="6" t="s">
        <v>75</v>
      </c>
    </row>
    <row r="817" spans="1:12">
      <c r="A817" s="3" t="s">
        <v>1485</v>
      </c>
      <c r="B817" s="19">
        <v>3316</v>
      </c>
      <c r="C817" s="8">
        <v>126</v>
      </c>
      <c r="D817" s="8">
        <v>6</v>
      </c>
      <c r="E817" s="8" t="s">
        <v>6</v>
      </c>
      <c r="F817" s="4" t="s">
        <v>17</v>
      </c>
      <c r="G817" s="4" t="s">
        <v>8</v>
      </c>
      <c r="H817" s="10">
        <v>44145</v>
      </c>
      <c r="I817" s="4" t="s">
        <v>1486</v>
      </c>
      <c r="J817" s="4" t="s">
        <v>22</v>
      </c>
      <c r="K817" s="4" t="s">
        <v>223</v>
      </c>
      <c r="L817" s="4" t="s">
        <v>43</v>
      </c>
    </row>
    <row r="818" spans="1:12">
      <c r="A818" s="3" t="s">
        <v>1487</v>
      </c>
      <c r="B818" s="19">
        <v>3309</v>
      </c>
      <c r="C818" s="8">
        <v>177</v>
      </c>
      <c r="D818" s="8">
        <v>13</v>
      </c>
      <c r="E818" s="8" t="s">
        <v>10</v>
      </c>
      <c r="F818" s="4" t="s">
        <v>28</v>
      </c>
      <c r="G818" s="4" t="s">
        <v>20</v>
      </c>
      <c r="H818" s="8" t="s">
        <v>1488</v>
      </c>
      <c r="I818" s="4" t="s">
        <v>1489</v>
      </c>
      <c r="J818" s="4" t="s">
        <v>22</v>
      </c>
      <c r="K818" s="4" t="s">
        <v>117</v>
      </c>
      <c r="L818" s="4" t="s">
        <v>47</v>
      </c>
    </row>
    <row r="819" spans="1:12">
      <c r="A819" s="5" t="s">
        <v>411</v>
      </c>
      <c r="B819" s="20">
        <v>3297</v>
      </c>
      <c r="C819" s="9">
        <v>102</v>
      </c>
      <c r="D819" s="9">
        <v>12</v>
      </c>
      <c r="E819" s="9" t="s">
        <v>6</v>
      </c>
      <c r="F819" s="6" t="s">
        <v>21</v>
      </c>
      <c r="G819" s="6" t="s">
        <v>12</v>
      </c>
      <c r="H819" s="11">
        <v>44783</v>
      </c>
      <c r="I819" s="6" t="s">
        <v>412</v>
      </c>
      <c r="J819" s="6" t="s">
        <v>25</v>
      </c>
      <c r="K819" s="6" t="s">
        <v>111</v>
      </c>
      <c r="L819" s="6" t="s">
        <v>69</v>
      </c>
    </row>
    <row r="820" spans="1:12">
      <c r="A820" s="3" t="s">
        <v>411</v>
      </c>
      <c r="B820" s="19">
        <v>3297</v>
      </c>
      <c r="C820" s="8">
        <v>102</v>
      </c>
      <c r="D820" s="8">
        <v>12</v>
      </c>
      <c r="E820" s="8" t="s">
        <v>6</v>
      </c>
      <c r="F820" s="4" t="s">
        <v>21</v>
      </c>
      <c r="G820" s="4" t="s">
        <v>12</v>
      </c>
      <c r="H820" s="8" t="s">
        <v>413</v>
      </c>
      <c r="I820" s="4" t="s">
        <v>414</v>
      </c>
      <c r="J820" s="4" t="s">
        <v>22</v>
      </c>
      <c r="K820" s="4" t="s">
        <v>223</v>
      </c>
      <c r="L820" s="4" t="s">
        <v>81</v>
      </c>
    </row>
    <row r="821" spans="1:12">
      <c r="A821" s="5" t="s">
        <v>411</v>
      </c>
      <c r="B821" s="20">
        <v>3297</v>
      </c>
      <c r="C821" s="9">
        <v>102</v>
      </c>
      <c r="D821" s="9">
        <v>12</v>
      </c>
      <c r="E821" s="9" t="s">
        <v>6</v>
      </c>
      <c r="F821" s="6" t="s">
        <v>21</v>
      </c>
      <c r="G821" s="6" t="s">
        <v>12</v>
      </c>
      <c r="H821" s="11">
        <v>44441</v>
      </c>
      <c r="I821" s="6" t="s">
        <v>415</v>
      </c>
      <c r="J821" s="6" t="s">
        <v>25</v>
      </c>
      <c r="K821" s="6" t="s">
        <v>129</v>
      </c>
      <c r="L821" s="6" t="s">
        <v>49</v>
      </c>
    </row>
    <row r="822" spans="1:12">
      <c r="A822" s="5" t="s">
        <v>1490</v>
      </c>
      <c r="B822" s="20">
        <v>3288</v>
      </c>
      <c r="C822" s="9">
        <v>1477</v>
      </c>
      <c r="D822" s="9">
        <v>3</v>
      </c>
      <c r="E822" s="9" t="s">
        <v>14</v>
      </c>
      <c r="F822" s="6" t="s">
        <v>44</v>
      </c>
      <c r="G822" s="6" t="s">
        <v>20</v>
      </c>
      <c r="H822" s="9" t="s">
        <v>1491</v>
      </c>
      <c r="I822" s="6" t="s">
        <v>1492</v>
      </c>
      <c r="J822" s="6" t="s">
        <v>25</v>
      </c>
      <c r="K822" s="6" t="s">
        <v>111</v>
      </c>
      <c r="L822" s="6" t="s">
        <v>88</v>
      </c>
    </row>
    <row r="823" spans="1:12">
      <c r="A823" s="3" t="s">
        <v>1490</v>
      </c>
      <c r="B823" s="19">
        <v>3288</v>
      </c>
      <c r="C823" s="8">
        <v>1477</v>
      </c>
      <c r="D823" s="8">
        <v>3</v>
      </c>
      <c r="E823" s="8" t="s">
        <v>14</v>
      </c>
      <c r="F823" s="4" t="s">
        <v>44</v>
      </c>
      <c r="G823" s="4" t="s">
        <v>20</v>
      </c>
      <c r="H823" s="8" t="s">
        <v>1493</v>
      </c>
      <c r="I823" s="4" t="s">
        <v>1494</v>
      </c>
      <c r="J823" s="4" t="s">
        <v>15</v>
      </c>
      <c r="K823" s="4" t="s">
        <v>171</v>
      </c>
      <c r="L823" s="4" t="s">
        <v>61</v>
      </c>
    </row>
    <row r="824" spans="1:12">
      <c r="A824" s="5" t="s">
        <v>513</v>
      </c>
      <c r="B824" s="20">
        <v>3283</v>
      </c>
      <c r="C824" s="9">
        <v>71</v>
      </c>
      <c r="D824" s="9">
        <v>6</v>
      </c>
      <c r="E824" s="9" t="s">
        <v>14</v>
      </c>
      <c r="F824" s="6" t="s">
        <v>44</v>
      </c>
      <c r="G824" s="6" t="s">
        <v>20</v>
      </c>
      <c r="H824" s="9" t="s">
        <v>514</v>
      </c>
      <c r="I824" s="6" t="s">
        <v>515</v>
      </c>
      <c r="J824" s="6" t="s">
        <v>19</v>
      </c>
      <c r="K824" s="6" t="s">
        <v>108</v>
      </c>
      <c r="L824" s="6" t="s">
        <v>57</v>
      </c>
    </row>
    <row r="825" spans="1:12">
      <c r="A825" s="3" t="s">
        <v>1495</v>
      </c>
      <c r="B825" s="19">
        <v>3281</v>
      </c>
      <c r="C825" s="8">
        <v>471</v>
      </c>
      <c r="D825" s="8">
        <v>7</v>
      </c>
      <c r="E825" s="8" t="s">
        <v>10</v>
      </c>
      <c r="F825" s="4" t="s">
        <v>32</v>
      </c>
      <c r="G825" s="4" t="s">
        <v>20</v>
      </c>
      <c r="H825" s="8" t="s">
        <v>1496</v>
      </c>
      <c r="I825" s="4" t="s">
        <v>1497</v>
      </c>
      <c r="J825" s="4" t="s">
        <v>7</v>
      </c>
      <c r="K825" s="4" t="s">
        <v>205</v>
      </c>
      <c r="L825" s="4" t="s">
        <v>83</v>
      </c>
    </row>
    <row r="826" spans="1:12">
      <c r="A826" s="5" t="s">
        <v>1495</v>
      </c>
      <c r="B826" s="20">
        <v>3281</v>
      </c>
      <c r="C826" s="9">
        <v>471</v>
      </c>
      <c r="D826" s="9">
        <v>7</v>
      </c>
      <c r="E826" s="9" t="s">
        <v>10</v>
      </c>
      <c r="F826" s="6" t="s">
        <v>32</v>
      </c>
      <c r="G826" s="6" t="s">
        <v>20</v>
      </c>
      <c r="H826" s="9" t="s">
        <v>1498</v>
      </c>
      <c r="I826" s="6" t="s">
        <v>1499</v>
      </c>
      <c r="J826" s="6" t="s">
        <v>15</v>
      </c>
      <c r="K826" s="6" t="s">
        <v>235</v>
      </c>
      <c r="L826" s="6" t="s">
        <v>77</v>
      </c>
    </row>
    <row r="827" spans="1:12">
      <c r="A827" s="3" t="s">
        <v>1500</v>
      </c>
      <c r="B827" s="19">
        <v>3273</v>
      </c>
      <c r="C827" s="8">
        <v>85</v>
      </c>
      <c r="D827" s="8">
        <v>16</v>
      </c>
      <c r="E827" s="8" t="s">
        <v>6</v>
      </c>
      <c r="F827" s="4" t="s">
        <v>21</v>
      </c>
      <c r="G827" s="4" t="s">
        <v>23</v>
      </c>
      <c r="H827" s="8" t="s">
        <v>1049</v>
      </c>
      <c r="I827" s="4" t="s">
        <v>1501</v>
      </c>
      <c r="J827" s="4" t="s">
        <v>22</v>
      </c>
      <c r="K827" s="4" t="s">
        <v>223</v>
      </c>
      <c r="L827" s="4" t="s">
        <v>86</v>
      </c>
    </row>
    <row r="828" spans="1:12">
      <c r="A828" s="3" t="s">
        <v>1502</v>
      </c>
      <c r="B828" s="19">
        <v>3265</v>
      </c>
      <c r="C828" s="8">
        <v>1390</v>
      </c>
      <c r="D828" s="8">
        <v>16</v>
      </c>
      <c r="E828" s="8" t="s">
        <v>14</v>
      </c>
      <c r="F828" s="4" t="s">
        <v>42</v>
      </c>
      <c r="G828" s="4" t="s">
        <v>12</v>
      </c>
      <c r="H828" s="8" t="s">
        <v>1503</v>
      </c>
      <c r="I828" s="4" t="s">
        <v>1504</v>
      </c>
      <c r="J828" s="4" t="s">
        <v>7</v>
      </c>
      <c r="K828" s="4" t="s">
        <v>205</v>
      </c>
      <c r="L828" s="4" t="s">
        <v>84</v>
      </c>
    </row>
    <row r="829" spans="1:12">
      <c r="A829" s="3" t="s">
        <v>1505</v>
      </c>
      <c r="B829" s="19">
        <v>3260</v>
      </c>
      <c r="C829" s="8">
        <v>207</v>
      </c>
      <c r="D829" s="8">
        <v>17</v>
      </c>
      <c r="E829" s="8" t="s">
        <v>10</v>
      </c>
      <c r="F829" s="4" t="s">
        <v>34</v>
      </c>
      <c r="G829" s="4" t="s">
        <v>23</v>
      </c>
      <c r="H829" s="8" t="s">
        <v>1506</v>
      </c>
      <c r="I829" s="4" t="s">
        <v>1507</v>
      </c>
      <c r="J829" s="4" t="s">
        <v>7</v>
      </c>
      <c r="K829" s="4" t="s">
        <v>162</v>
      </c>
      <c r="L829" s="4" t="s">
        <v>83</v>
      </c>
    </row>
    <row r="830" spans="1:12">
      <c r="A830" s="3" t="s">
        <v>1508</v>
      </c>
      <c r="B830" s="19">
        <v>3234</v>
      </c>
      <c r="C830" s="8">
        <v>1029</v>
      </c>
      <c r="D830" s="8">
        <v>20</v>
      </c>
      <c r="E830" s="8" t="s">
        <v>14</v>
      </c>
      <c r="F830" s="4" t="s">
        <v>40</v>
      </c>
      <c r="G830" s="4" t="s">
        <v>12</v>
      </c>
      <c r="H830" s="8" t="s">
        <v>1509</v>
      </c>
      <c r="I830" s="4" t="s">
        <v>1510</v>
      </c>
      <c r="J830" s="4" t="s">
        <v>11</v>
      </c>
      <c r="K830" s="4" t="s">
        <v>156</v>
      </c>
      <c r="L830" s="4" t="s">
        <v>62</v>
      </c>
    </row>
    <row r="831" spans="1:12">
      <c r="A831" s="5" t="s">
        <v>609</v>
      </c>
      <c r="B831" s="20">
        <v>3234</v>
      </c>
      <c r="C831" s="9">
        <v>1274</v>
      </c>
      <c r="D831" s="9">
        <v>10</v>
      </c>
      <c r="E831" s="9" t="s">
        <v>10</v>
      </c>
      <c r="F831" s="6" t="s">
        <v>34</v>
      </c>
      <c r="G831" s="6" t="s">
        <v>20</v>
      </c>
      <c r="H831" s="9" t="s">
        <v>610</v>
      </c>
      <c r="I831" s="6" t="s">
        <v>611</v>
      </c>
      <c r="J831" s="6" t="s">
        <v>7</v>
      </c>
      <c r="K831" s="6" t="s">
        <v>124</v>
      </c>
      <c r="L831" s="6" t="s">
        <v>80</v>
      </c>
    </row>
    <row r="832" spans="1:12">
      <c r="A832" s="3" t="s">
        <v>609</v>
      </c>
      <c r="B832" s="19">
        <v>3234</v>
      </c>
      <c r="C832" s="8">
        <v>1274</v>
      </c>
      <c r="D832" s="8">
        <v>10</v>
      </c>
      <c r="E832" s="8" t="s">
        <v>10</v>
      </c>
      <c r="F832" s="4" t="s">
        <v>34</v>
      </c>
      <c r="G832" s="4" t="s">
        <v>20</v>
      </c>
      <c r="H832" s="8" t="s">
        <v>612</v>
      </c>
      <c r="I832" s="4" t="s">
        <v>613</v>
      </c>
      <c r="J832" s="4" t="s">
        <v>19</v>
      </c>
      <c r="K832" s="4" t="s">
        <v>126</v>
      </c>
      <c r="L832" s="4" t="s">
        <v>31</v>
      </c>
    </row>
    <row r="833" spans="1:12">
      <c r="A833" s="5" t="s">
        <v>609</v>
      </c>
      <c r="B833" s="20">
        <v>3234</v>
      </c>
      <c r="C833" s="9">
        <v>1274</v>
      </c>
      <c r="D833" s="9">
        <v>10</v>
      </c>
      <c r="E833" s="9" t="s">
        <v>10</v>
      </c>
      <c r="F833" s="6" t="s">
        <v>34</v>
      </c>
      <c r="G833" s="6" t="s">
        <v>20</v>
      </c>
      <c r="H833" s="9" t="s">
        <v>614</v>
      </c>
      <c r="I833" s="6" t="s">
        <v>615</v>
      </c>
      <c r="J833" s="6" t="s">
        <v>22</v>
      </c>
      <c r="K833" s="6" t="s">
        <v>117</v>
      </c>
      <c r="L833" s="6" t="s">
        <v>47</v>
      </c>
    </row>
    <row r="834" spans="1:12">
      <c r="A834" s="5" t="s">
        <v>1511</v>
      </c>
      <c r="B834" s="20">
        <v>3228</v>
      </c>
      <c r="C834" s="9">
        <v>476</v>
      </c>
      <c r="D834" s="9">
        <v>9</v>
      </c>
      <c r="E834" s="9" t="s">
        <v>14</v>
      </c>
      <c r="F834" s="6" t="s">
        <v>42</v>
      </c>
      <c r="G834" s="6" t="s">
        <v>8</v>
      </c>
      <c r="H834" s="9" t="s">
        <v>1512</v>
      </c>
      <c r="I834" s="6" t="s">
        <v>1513</v>
      </c>
      <c r="J834" s="6" t="s">
        <v>19</v>
      </c>
      <c r="K834" s="6" t="s">
        <v>210</v>
      </c>
      <c r="L834" s="6" t="s">
        <v>68</v>
      </c>
    </row>
    <row r="835" spans="1:12">
      <c r="A835" s="5" t="s">
        <v>1514</v>
      </c>
      <c r="B835" s="20">
        <v>3224</v>
      </c>
      <c r="C835" s="9">
        <v>1018</v>
      </c>
      <c r="D835" s="9">
        <v>14</v>
      </c>
      <c r="E835" s="9" t="s">
        <v>14</v>
      </c>
      <c r="F835" s="6" t="s">
        <v>38</v>
      </c>
      <c r="G835" s="6" t="s">
        <v>23</v>
      </c>
      <c r="H835" s="9" t="s">
        <v>1173</v>
      </c>
      <c r="I835" s="6" t="s">
        <v>1515</v>
      </c>
      <c r="J835" s="6" t="s">
        <v>15</v>
      </c>
      <c r="K835" s="6" t="s">
        <v>132</v>
      </c>
      <c r="L835" s="6" t="s">
        <v>93</v>
      </c>
    </row>
    <row r="836" spans="1:12">
      <c r="A836" s="3" t="s">
        <v>1191</v>
      </c>
      <c r="B836" s="19">
        <v>3196</v>
      </c>
      <c r="C836" s="8">
        <v>1411</v>
      </c>
      <c r="D836" s="8">
        <v>15</v>
      </c>
      <c r="E836" s="8" t="s">
        <v>14</v>
      </c>
      <c r="F836" s="4" t="s">
        <v>42</v>
      </c>
      <c r="G836" s="4" t="s">
        <v>16</v>
      </c>
      <c r="H836" s="10">
        <v>45542</v>
      </c>
      <c r="I836" s="4" t="s">
        <v>1192</v>
      </c>
      <c r="J836" s="4" t="s">
        <v>7</v>
      </c>
      <c r="K836" s="4" t="s">
        <v>205</v>
      </c>
      <c r="L836" s="4" t="s">
        <v>90</v>
      </c>
    </row>
    <row r="837" spans="1:12">
      <c r="A837" s="3" t="s">
        <v>1424</v>
      </c>
      <c r="B837" s="19">
        <v>3194</v>
      </c>
      <c r="C837" s="8">
        <v>534</v>
      </c>
      <c r="D837" s="8">
        <v>4</v>
      </c>
      <c r="E837" s="8" t="s">
        <v>14</v>
      </c>
      <c r="F837" s="4" t="s">
        <v>38</v>
      </c>
      <c r="G837" s="4" t="s">
        <v>23</v>
      </c>
      <c r="H837" s="10">
        <v>44172</v>
      </c>
      <c r="I837" s="4" t="s">
        <v>1425</v>
      </c>
      <c r="J837" s="4" t="s">
        <v>15</v>
      </c>
      <c r="K837" s="4" t="s">
        <v>171</v>
      </c>
      <c r="L837" s="4" t="s">
        <v>37</v>
      </c>
    </row>
    <row r="838" spans="1:12">
      <c r="A838" s="5" t="s">
        <v>1424</v>
      </c>
      <c r="B838" s="20">
        <v>3194</v>
      </c>
      <c r="C838" s="9">
        <v>534</v>
      </c>
      <c r="D838" s="9">
        <v>4</v>
      </c>
      <c r="E838" s="9" t="s">
        <v>14</v>
      </c>
      <c r="F838" s="6" t="s">
        <v>38</v>
      </c>
      <c r="G838" s="6" t="s">
        <v>23</v>
      </c>
      <c r="H838" s="11">
        <v>44785</v>
      </c>
      <c r="I838" s="6" t="s">
        <v>1426</v>
      </c>
      <c r="J838" s="6" t="s">
        <v>19</v>
      </c>
      <c r="K838" s="6" t="s">
        <v>126</v>
      </c>
      <c r="L838" s="6" t="s">
        <v>71</v>
      </c>
    </row>
    <row r="839" spans="1:12">
      <c r="A839" s="3" t="s">
        <v>1424</v>
      </c>
      <c r="B839" s="19">
        <v>3194</v>
      </c>
      <c r="C839" s="8">
        <v>534</v>
      </c>
      <c r="D839" s="8">
        <v>4</v>
      </c>
      <c r="E839" s="8" t="s">
        <v>14</v>
      </c>
      <c r="F839" s="4" t="s">
        <v>38</v>
      </c>
      <c r="G839" s="4" t="s">
        <v>23</v>
      </c>
      <c r="H839" s="8" t="s">
        <v>1427</v>
      </c>
      <c r="I839" s="4" t="s">
        <v>1428</v>
      </c>
      <c r="J839" s="4" t="s">
        <v>22</v>
      </c>
      <c r="K839" s="4" t="s">
        <v>179</v>
      </c>
      <c r="L839" s="4" t="s">
        <v>86</v>
      </c>
    </row>
    <row r="840" spans="1:12">
      <c r="A840" s="5" t="s">
        <v>1424</v>
      </c>
      <c r="B840" s="20">
        <v>3194</v>
      </c>
      <c r="C840" s="9">
        <v>534</v>
      </c>
      <c r="D840" s="9">
        <v>4</v>
      </c>
      <c r="E840" s="9" t="s">
        <v>14</v>
      </c>
      <c r="F840" s="6" t="s">
        <v>38</v>
      </c>
      <c r="G840" s="6" t="s">
        <v>23</v>
      </c>
      <c r="H840" s="9" t="s">
        <v>1429</v>
      </c>
      <c r="I840" s="6" t="s">
        <v>1430</v>
      </c>
      <c r="J840" s="6" t="s">
        <v>15</v>
      </c>
      <c r="K840" s="6" t="s">
        <v>132</v>
      </c>
      <c r="L840" s="6" t="s">
        <v>73</v>
      </c>
    </row>
    <row r="841" spans="1:12">
      <c r="A841" s="3" t="s">
        <v>1424</v>
      </c>
      <c r="B841" s="19">
        <v>3194</v>
      </c>
      <c r="C841" s="8">
        <v>534</v>
      </c>
      <c r="D841" s="8">
        <v>4</v>
      </c>
      <c r="E841" s="8" t="s">
        <v>14</v>
      </c>
      <c r="F841" s="4" t="s">
        <v>38</v>
      </c>
      <c r="G841" s="4" t="s">
        <v>23</v>
      </c>
      <c r="H841" s="8" t="s">
        <v>1431</v>
      </c>
      <c r="I841" s="4" t="s">
        <v>1432</v>
      </c>
      <c r="J841" s="4" t="s">
        <v>7</v>
      </c>
      <c r="K841" s="4" t="s">
        <v>205</v>
      </c>
      <c r="L841" s="4" t="s">
        <v>54</v>
      </c>
    </row>
    <row r="842" spans="1:12">
      <c r="A842" s="3" t="s">
        <v>1516</v>
      </c>
      <c r="B842" s="19">
        <v>3189</v>
      </c>
      <c r="C842" s="8">
        <v>1180</v>
      </c>
      <c r="D842" s="8">
        <v>19</v>
      </c>
      <c r="E842" s="8" t="s">
        <v>14</v>
      </c>
      <c r="F842" s="4" t="s">
        <v>42</v>
      </c>
      <c r="G842" s="4" t="s">
        <v>12</v>
      </c>
      <c r="H842" s="8" t="s">
        <v>1517</v>
      </c>
      <c r="I842" s="4" t="s">
        <v>1518</v>
      </c>
      <c r="J842" s="4" t="s">
        <v>19</v>
      </c>
      <c r="K842" s="4" t="s">
        <v>210</v>
      </c>
      <c r="L842" s="4" t="s">
        <v>59</v>
      </c>
    </row>
    <row r="843" spans="1:12">
      <c r="A843" s="3" t="s">
        <v>808</v>
      </c>
      <c r="B843" s="19">
        <v>3176</v>
      </c>
      <c r="C843" s="8">
        <v>586</v>
      </c>
      <c r="D843" s="8">
        <v>9</v>
      </c>
      <c r="E843" s="8" t="s">
        <v>10</v>
      </c>
      <c r="F843" s="4" t="s">
        <v>34</v>
      </c>
      <c r="G843" s="4" t="s">
        <v>20</v>
      </c>
      <c r="H843" s="8" t="s">
        <v>809</v>
      </c>
      <c r="I843" s="4" t="s">
        <v>810</v>
      </c>
      <c r="J843" s="4" t="s">
        <v>25</v>
      </c>
      <c r="K843" s="4" t="s">
        <v>129</v>
      </c>
      <c r="L843" s="4" t="s">
        <v>79</v>
      </c>
    </row>
    <row r="844" spans="1:12">
      <c r="A844" s="5" t="s">
        <v>808</v>
      </c>
      <c r="B844" s="20">
        <v>3176</v>
      </c>
      <c r="C844" s="9">
        <v>586</v>
      </c>
      <c r="D844" s="9">
        <v>9</v>
      </c>
      <c r="E844" s="9" t="s">
        <v>10</v>
      </c>
      <c r="F844" s="6" t="s">
        <v>34</v>
      </c>
      <c r="G844" s="6" t="s">
        <v>20</v>
      </c>
      <c r="H844" s="9" t="s">
        <v>811</v>
      </c>
      <c r="I844" s="6" t="s">
        <v>812</v>
      </c>
      <c r="J844" s="6" t="s">
        <v>22</v>
      </c>
      <c r="K844" s="6" t="s">
        <v>223</v>
      </c>
      <c r="L844" s="6" t="s">
        <v>58</v>
      </c>
    </row>
    <row r="845" spans="1:12">
      <c r="A845" s="3" t="s">
        <v>1519</v>
      </c>
      <c r="B845" s="19">
        <v>3137</v>
      </c>
      <c r="C845" s="8">
        <v>571</v>
      </c>
      <c r="D845" s="8">
        <v>9</v>
      </c>
      <c r="E845" s="8" t="s">
        <v>14</v>
      </c>
      <c r="F845" s="4" t="s">
        <v>44</v>
      </c>
      <c r="G845" s="4" t="s">
        <v>16</v>
      </c>
      <c r="H845" s="10">
        <v>45690</v>
      </c>
      <c r="I845" s="4" t="s">
        <v>1520</v>
      </c>
      <c r="J845" s="4" t="s">
        <v>15</v>
      </c>
      <c r="K845" s="4" t="s">
        <v>132</v>
      </c>
      <c r="L845" s="4" t="s">
        <v>97</v>
      </c>
    </row>
    <row r="846" spans="1:12">
      <c r="A846" s="3" t="s">
        <v>1377</v>
      </c>
      <c r="B846" s="19">
        <v>3132</v>
      </c>
      <c r="C846" s="8">
        <v>963</v>
      </c>
      <c r="D846" s="8">
        <v>1</v>
      </c>
      <c r="E846" s="8" t="s">
        <v>10</v>
      </c>
      <c r="F846" s="4" t="s">
        <v>34</v>
      </c>
      <c r="G846" s="4" t="s">
        <v>16</v>
      </c>
      <c r="H846" s="10">
        <v>44752</v>
      </c>
      <c r="I846" s="4" t="s">
        <v>1378</v>
      </c>
      <c r="J846" s="4" t="s">
        <v>11</v>
      </c>
      <c r="K846" s="4" t="s">
        <v>120</v>
      </c>
      <c r="L846" s="4" t="s">
        <v>69</v>
      </c>
    </row>
    <row r="847" spans="1:12">
      <c r="A847" s="5" t="s">
        <v>670</v>
      </c>
      <c r="B847" s="20">
        <v>3129</v>
      </c>
      <c r="C847" s="9">
        <v>55</v>
      </c>
      <c r="D847" s="9">
        <v>9</v>
      </c>
      <c r="E847" s="9" t="s">
        <v>10</v>
      </c>
      <c r="F847" s="6" t="s">
        <v>28</v>
      </c>
      <c r="G847" s="6" t="s">
        <v>16</v>
      </c>
      <c r="H847" s="11">
        <v>44356</v>
      </c>
      <c r="I847" s="6" t="s">
        <v>671</v>
      </c>
      <c r="J847" s="6" t="s">
        <v>15</v>
      </c>
      <c r="K847" s="6" t="s">
        <v>235</v>
      </c>
      <c r="L847" s="6" t="s">
        <v>56</v>
      </c>
    </row>
    <row r="848" spans="1:12">
      <c r="A848" s="3" t="s">
        <v>1010</v>
      </c>
      <c r="B848" s="19">
        <v>3124</v>
      </c>
      <c r="C848" s="8">
        <v>138</v>
      </c>
      <c r="D848" s="8">
        <v>16</v>
      </c>
      <c r="E848" s="8" t="s">
        <v>6</v>
      </c>
      <c r="F848" s="4" t="s">
        <v>21</v>
      </c>
      <c r="G848" s="4" t="s">
        <v>16</v>
      </c>
      <c r="H848" s="8" t="s">
        <v>1011</v>
      </c>
      <c r="I848" s="4" t="s">
        <v>1012</v>
      </c>
      <c r="J848" s="4" t="s">
        <v>7</v>
      </c>
      <c r="K848" s="4" t="s">
        <v>205</v>
      </c>
      <c r="L848" s="4" t="s">
        <v>43</v>
      </c>
    </row>
    <row r="849" spans="1:12">
      <c r="A849" s="3" t="s">
        <v>268</v>
      </c>
      <c r="B849" s="19">
        <v>3112</v>
      </c>
      <c r="C849" s="8">
        <v>1065</v>
      </c>
      <c r="D849" s="8">
        <v>20</v>
      </c>
      <c r="E849" s="8" t="s">
        <v>14</v>
      </c>
      <c r="F849" s="4" t="s">
        <v>38</v>
      </c>
      <c r="G849" s="4" t="s">
        <v>8</v>
      </c>
      <c r="H849" s="8" t="s">
        <v>269</v>
      </c>
      <c r="I849" s="4" t="s">
        <v>270</v>
      </c>
      <c r="J849" s="4" t="s">
        <v>7</v>
      </c>
      <c r="K849" s="4" t="s">
        <v>124</v>
      </c>
      <c r="L849" s="4" t="s">
        <v>65</v>
      </c>
    </row>
    <row r="850" spans="1:12">
      <c r="A850" s="5" t="s">
        <v>1521</v>
      </c>
      <c r="B850" s="20">
        <v>3099</v>
      </c>
      <c r="C850" s="9">
        <v>479</v>
      </c>
      <c r="D850" s="9">
        <v>1</v>
      </c>
      <c r="E850" s="9" t="s">
        <v>14</v>
      </c>
      <c r="F850" s="6" t="s">
        <v>42</v>
      </c>
      <c r="G850" s="6" t="s">
        <v>8</v>
      </c>
      <c r="H850" s="9" t="s">
        <v>961</v>
      </c>
      <c r="I850" s="6" t="s">
        <v>1522</v>
      </c>
      <c r="J850" s="6" t="s">
        <v>19</v>
      </c>
      <c r="K850" s="6" t="s">
        <v>126</v>
      </c>
      <c r="L850" s="6" t="s">
        <v>60</v>
      </c>
    </row>
    <row r="851" spans="1:12">
      <c r="A851" s="3" t="s">
        <v>1523</v>
      </c>
      <c r="B851" s="19">
        <v>3098</v>
      </c>
      <c r="C851" s="8">
        <v>957</v>
      </c>
      <c r="D851" s="8">
        <v>18</v>
      </c>
      <c r="E851" s="8" t="s">
        <v>10</v>
      </c>
      <c r="F851" s="4" t="s">
        <v>28</v>
      </c>
      <c r="G851" s="4" t="s">
        <v>8</v>
      </c>
      <c r="H851" s="10">
        <v>45389</v>
      </c>
      <c r="I851" s="4" t="s">
        <v>1524</v>
      </c>
      <c r="J851" s="4" t="s">
        <v>25</v>
      </c>
      <c r="K851" s="4" t="s">
        <v>111</v>
      </c>
      <c r="L851" s="4" t="s">
        <v>90</v>
      </c>
    </row>
    <row r="852" spans="1:12">
      <c r="A852" s="3" t="s">
        <v>1525</v>
      </c>
      <c r="B852" s="19">
        <v>3095</v>
      </c>
      <c r="C852" s="8">
        <v>941</v>
      </c>
      <c r="D852" s="8">
        <v>2</v>
      </c>
      <c r="E852" s="8" t="s">
        <v>14</v>
      </c>
      <c r="F852" s="4" t="s">
        <v>44</v>
      </c>
      <c r="G852" s="4" t="s">
        <v>20</v>
      </c>
      <c r="H852" s="8" t="s">
        <v>733</v>
      </c>
      <c r="I852" s="4" t="s">
        <v>1526</v>
      </c>
      <c r="J852" s="4" t="s">
        <v>22</v>
      </c>
      <c r="K852" s="4" t="s">
        <v>117</v>
      </c>
      <c r="L852" s="4" t="s">
        <v>63</v>
      </c>
    </row>
    <row r="853" spans="1:12">
      <c r="A853" s="5" t="s">
        <v>1525</v>
      </c>
      <c r="B853" s="20">
        <v>3095</v>
      </c>
      <c r="C853" s="9">
        <v>941</v>
      </c>
      <c r="D853" s="9">
        <v>2</v>
      </c>
      <c r="E853" s="9" t="s">
        <v>14</v>
      </c>
      <c r="F853" s="6" t="s">
        <v>44</v>
      </c>
      <c r="G853" s="6" t="s">
        <v>20</v>
      </c>
      <c r="H853" s="11">
        <v>44873</v>
      </c>
      <c r="I853" s="6" t="s">
        <v>1527</v>
      </c>
      <c r="J853" s="6" t="s">
        <v>25</v>
      </c>
      <c r="K853" s="6" t="s">
        <v>111</v>
      </c>
      <c r="L853" s="6" t="s">
        <v>67</v>
      </c>
    </row>
    <row r="854" spans="1:12">
      <c r="A854" s="3" t="s">
        <v>256</v>
      </c>
      <c r="B854" s="19">
        <v>3090</v>
      </c>
      <c r="C854" s="8">
        <v>573</v>
      </c>
      <c r="D854" s="8">
        <v>6</v>
      </c>
      <c r="E854" s="8" t="s">
        <v>10</v>
      </c>
      <c r="F854" s="4" t="s">
        <v>34</v>
      </c>
      <c r="G854" s="4" t="s">
        <v>20</v>
      </c>
      <c r="H854" s="8" t="s">
        <v>244</v>
      </c>
      <c r="I854" s="4" t="s">
        <v>257</v>
      </c>
      <c r="J854" s="4" t="s">
        <v>7</v>
      </c>
      <c r="K854" s="4" t="s">
        <v>162</v>
      </c>
      <c r="L854" s="4" t="s">
        <v>95</v>
      </c>
    </row>
    <row r="855" spans="1:12">
      <c r="A855" s="5" t="s">
        <v>256</v>
      </c>
      <c r="B855" s="20">
        <v>3090</v>
      </c>
      <c r="C855" s="9">
        <v>573</v>
      </c>
      <c r="D855" s="9">
        <v>6</v>
      </c>
      <c r="E855" s="9" t="s">
        <v>10</v>
      </c>
      <c r="F855" s="6" t="s">
        <v>34</v>
      </c>
      <c r="G855" s="6" t="s">
        <v>20</v>
      </c>
      <c r="H855" s="9" t="s">
        <v>258</v>
      </c>
      <c r="I855" s="6" t="s">
        <v>259</v>
      </c>
      <c r="J855" s="6" t="s">
        <v>22</v>
      </c>
      <c r="K855" s="6" t="s">
        <v>223</v>
      </c>
      <c r="L855" s="6" t="s">
        <v>53</v>
      </c>
    </row>
    <row r="856" spans="1:12">
      <c r="A856" s="3" t="s">
        <v>256</v>
      </c>
      <c r="B856" s="19">
        <v>3090</v>
      </c>
      <c r="C856" s="8">
        <v>573</v>
      </c>
      <c r="D856" s="8">
        <v>6</v>
      </c>
      <c r="E856" s="8" t="s">
        <v>10</v>
      </c>
      <c r="F856" s="4" t="s">
        <v>34</v>
      </c>
      <c r="G856" s="4" t="s">
        <v>20</v>
      </c>
      <c r="H856" s="8" t="s">
        <v>260</v>
      </c>
      <c r="I856" s="4" t="s">
        <v>261</v>
      </c>
      <c r="J856" s="4" t="s">
        <v>25</v>
      </c>
      <c r="K856" s="4" t="s">
        <v>111</v>
      </c>
      <c r="L856" s="4" t="s">
        <v>76</v>
      </c>
    </row>
    <row r="857" spans="1:12">
      <c r="A857" s="5" t="s">
        <v>256</v>
      </c>
      <c r="B857" s="20">
        <v>3090</v>
      </c>
      <c r="C857" s="9">
        <v>573</v>
      </c>
      <c r="D857" s="9">
        <v>6</v>
      </c>
      <c r="E857" s="9" t="s">
        <v>10</v>
      </c>
      <c r="F857" s="6" t="s">
        <v>34</v>
      </c>
      <c r="G857" s="6" t="s">
        <v>20</v>
      </c>
      <c r="H857" s="11">
        <v>44540</v>
      </c>
      <c r="I857" s="6" t="s">
        <v>262</v>
      </c>
      <c r="J857" s="6" t="s">
        <v>25</v>
      </c>
      <c r="K857" s="6" t="s">
        <v>129</v>
      </c>
      <c r="L857" s="6" t="s">
        <v>57</v>
      </c>
    </row>
    <row r="858" spans="1:12">
      <c r="A858" s="3" t="s">
        <v>1528</v>
      </c>
      <c r="B858" s="19">
        <v>3084</v>
      </c>
      <c r="C858" s="8">
        <v>611</v>
      </c>
      <c r="D858" s="8">
        <v>19</v>
      </c>
      <c r="E858" s="8" t="s">
        <v>10</v>
      </c>
      <c r="F858" s="4" t="s">
        <v>28</v>
      </c>
      <c r="G858" s="4" t="s">
        <v>23</v>
      </c>
      <c r="H858" s="8" t="s">
        <v>1283</v>
      </c>
      <c r="I858" s="4" t="s">
        <v>1529</v>
      </c>
      <c r="J858" s="4" t="s">
        <v>25</v>
      </c>
      <c r="K858" s="4" t="s">
        <v>129</v>
      </c>
      <c r="L858" s="4" t="s">
        <v>88</v>
      </c>
    </row>
    <row r="859" spans="1:12">
      <c r="A859" s="3" t="s">
        <v>1530</v>
      </c>
      <c r="B859" s="19">
        <v>3083</v>
      </c>
      <c r="C859" s="8">
        <v>1151</v>
      </c>
      <c r="D859" s="8">
        <v>16</v>
      </c>
      <c r="E859" s="8" t="s">
        <v>10</v>
      </c>
      <c r="F859" s="4" t="s">
        <v>28</v>
      </c>
      <c r="G859" s="4" t="s">
        <v>16</v>
      </c>
      <c r="H859" s="8" t="s">
        <v>1151</v>
      </c>
      <c r="I859" s="4" t="s">
        <v>1531</v>
      </c>
      <c r="J859" s="4" t="s">
        <v>11</v>
      </c>
      <c r="K859" s="4" t="s">
        <v>120</v>
      </c>
      <c r="L859" s="4" t="s">
        <v>63</v>
      </c>
    </row>
    <row r="860" spans="1:12">
      <c r="A860" s="3" t="s">
        <v>1257</v>
      </c>
      <c r="B860" s="19">
        <v>3080</v>
      </c>
      <c r="C860" s="8">
        <v>737</v>
      </c>
      <c r="D860" s="8">
        <v>6</v>
      </c>
      <c r="E860" s="8" t="s">
        <v>14</v>
      </c>
      <c r="F860" s="4" t="s">
        <v>38</v>
      </c>
      <c r="G860" s="4" t="s">
        <v>23</v>
      </c>
      <c r="H860" s="8" t="s">
        <v>478</v>
      </c>
      <c r="I860" s="4" t="s">
        <v>1258</v>
      </c>
      <c r="J860" s="4" t="s">
        <v>25</v>
      </c>
      <c r="K860" s="4" t="s">
        <v>129</v>
      </c>
      <c r="L860" s="4" t="s">
        <v>31</v>
      </c>
    </row>
    <row r="861" spans="1:12">
      <c r="A861" s="3" t="s">
        <v>326</v>
      </c>
      <c r="B861" s="19">
        <v>3067</v>
      </c>
      <c r="C861" s="8">
        <v>1475</v>
      </c>
      <c r="D861" s="8">
        <v>8</v>
      </c>
      <c r="E861" s="8" t="s">
        <v>6</v>
      </c>
      <c r="F861" s="4" t="s">
        <v>17</v>
      </c>
      <c r="G861" s="4" t="s">
        <v>23</v>
      </c>
      <c r="H861" s="8" t="s">
        <v>327</v>
      </c>
      <c r="I861" s="4" t="s">
        <v>328</v>
      </c>
      <c r="J861" s="4" t="s">
        <v>11</v>
      </c>
      <c r="K861" s="4" t="s">
        <v>120</v>
      </c>
      <c r="L861" s="4" t="s">
        <v>80</v>
      </c>
    </row>
    <row r="862" spans="1:12">
      <c r="A862" s="5" t="s">
        <v>326</v>
      </c>
      <c r="B862" s="20">
        <v>3067</v>
      </c>
      <c r="C862" s="9">
        <v>1475</v>
      </c>
      <c r="D862" s="9">
        <v>8</v>
      </c>
      <c r="E862" s="9" t="s">
        <v>6</v>
      </c>
      <c r="F862" s="6" t="s">
        <v>17</v>
      </c>
      <c r="G862" s="6" t="s">
        <v>23</v>
      </c>
      <c r="H862" s="9" t="s">
        <v>329</v>
      </c>
      <c r="I862" s="6" t="s">
        <v>330</v>
      </c>
      <c r="J862" s="6" t="s">
        <v>19</v>
      </c>
      <c r="K862" s="6" t="s">
        <v>210</v>
      </c>
      <c r="L862" s="6" t="s">
        <v>96</v>
      </c>
    </row>
    <row r="863" spans="1:12">
      <c r="A863" s="5" t="s">
        <v>1532</v>
      </c>
      <c r="B863" s="20">
        <v>3024</v>
      </c>
      <c r="C863" s="9">
        <v>1353</v>
      </c>
      <c r="D863" s="9">
        <v>1</v>
      </c>
      <c r="E863" s="9" t="s">
        <v>10</v>
      </c>
      <c r="F863" s="6" t="s">
        <v>32</v>
      </c>
      <c r="G863" s="6" t="s">
        <v>12</v>
      </c>
      <c r="H863" s="11">
        <v>45327</v>
      </c>
      <c r="I863" s="6" t="s">
        <v>1533</v>
      </c>
      <c r="J863" s="6" t="s">
        <v>7</v>
      </c>
      <c r="K863" s="6" t="s">
        <v>205</v>
      </c>
      <c r="L863" s="6" t="s">
        <v>88</v>
      </c>
    </row>
    <row r="864" spans="1:12">
      <c r="A864" s="3" t="s">
        <v>1532</v>
      </c>
      <c r="B864" s="19">
        <v>3024</v>
      </c>
      <c r="C864" s="8">
        <v>1353</v>
      </c>
      <c r="D864" s="8">
        <v>1</v>
      </c>
      <c r="E864" s="8" t="s">
        <v>10</v>
      </c>
      <c r="F864" s="4" t="s">
        <v>32</v>
      </c>
      <c r="G864" s="4" t="s">
        <v>12</v>
      </c>
      <c r="H864" s="8" t="s">
        <v>1534</v>
      </c>
      <c r="I864" s="4" t="s">
        <v>1535</v>
      </c>
      <c r="J864" s="4" t="s">
        <v>22</v>
      </c>
      <c r="K864" s="4" t="s">
        <v>179</v>
      </c>
      <c r="L864" s="4" t="s">
        <v>59</v>
      </c>
    </row>
    <row r="865" spans="1:12">
      <c r="A865" s="5" t="s">
        <v>1193</v>
      </c>
      <c r="B865" s="20">
        <v>3022</v>
      </c>
      <c r="C865" s="9">
        <v>384</v>
      </c>
      <c r="D865" s="9">
        <v>1</v>
      </c>
      <c r="E865" s="9" t="s">
        <v>14</v>
      </c>
      <c r="F865" s="6" t="s">
        <v>44</v>
      </c>
      <c r="G865" s="6" t="s">
        <v>12</v>
      </c>
      <c r="H865" s="11">
        <v>44866</v>
      </c>
      <c r="I865" s="6" t="s">
        <v>1194</v>
      </c>
      <c r="J865" s="6" t="s">
        <v>25</v>
      </c>
      <c r="K865" s="6" t="s">
        <v>111</v>
      </c>
      <c r="L865" s="6" t="s">
        <v>60</v>
      </c>
    </row>
    <row r="866" spans="1:12">
      <c r="A866" s="3" t="s">
        <v>1193</v>
      </c>
      <c r="B866" s="19">
        <v>3022</v>
      </c>
      <c r="C866" s="8">
        <v>384</v>
      </c>
      <c r="D866" s="8">
        <v>1</v>
      </c>
      <c r="E866" s="8" t="s">
        <v>14</v>
      </c>
      <c r="F866" s="4" t="s">
        <v>44</v>
      </c>
      <c r="G866" s="4" t="s">
        <v>12</v>
      </c>
      <c r="H866" s="8" t="s">
        <v>1195</v>
      </c>
      <c r="I866" s="4" t="s">
        <v>1196</v>
      </c>
      <c r="J866" s="4" t="s">
        <v>15</v>
      </c>
      <c r="K866" s="4" t="s">
        <v>132</v>
      </c>
      <c r="L866" s="4" t="s">
        <v>49</v>
      </c>
    </row>
    <row r="867" spans="1:12">
      <c r="A867" s="3" t="s">
        <v>1223</v>
      </c>
      <c r="B867" s="19">
        <v>2999</v>
      </c>
      <c r="C867" s="8">
        <v>145</v>
      </c>
      <c r="D867" s="8">
        <v>13</v>
      </c>
      <c r="E867" s="8" t="s">
        <v>14</v>
      </c>
      <c r="F867" s="4" t="s">
        <v>38</v>
      </c>
      <c r="G867" s="4" t="s">
        <v>8</v>
      </c>
      <c r="H867" s="8" t="s">
        <v>984</v>
      </c>
      <c r="I867" s="4" t="s">
        <v>1224</v>
      </c>
      <c r="J867" s="4" t="s">
        <v>15</v>
      </c>
      <c r="K867" s="4" t="s">
        <v>132</v>
      </c>
      <c r="L867" s="4" t="s">
        <v>67</v>
      </c>
    </row>
    <row r="868" spans="1:12">
      <c r="A868" s="3" t="s">
        <v>1536</v>
      </c>
      <c r="B868" s="19">
        <v>2995</v>
      </c>
      <c r="C868" s="8">
        <v>220</v>
      </c>
      <c r="D868" s="8">
        <v>14</v>
      </c>
      <c r="E868" s="8" t="s">
        <v>10</v>
      </c>
      <c r="F868" s="4" t="s">
        <v>28</v>
      </c>
      <c r="G868" s="4" t="s">
        <v>12</v>
      </c>
      <c r="H868" s="8" t="s">
        <v>632</v>
      </c>
      <c r="I868" s="4" t="s">
        <v>1537</v>
      </c>
      <c r="J868" s="4" t="s">
        <v>19</v>
      </c>
      <c r="K868" s="4" t="s">
        <v>126</v>
      </c>
      <c r="L868" s="4" t="s">
        <v>92</v>
      </c>
    </row>
    <row r="869" spans="1:12">
      <c r="A869" s="5" t="s">
        <v>1538</v>
      </c>
      <c r="B869" s="20">
        <v>2975</v>
      </c>
      <c r="C869" s="9">
        <v>462</v>
      </c>
      <c r="D869" s="9">
        <v>14</v>
      </c>
      <c r="E869" s="9" t="s">
        <v>14</v>
      </c>
      <c r="F869" s="6" t="s">
        <v>44</v>
      </c>
      <c r="G869" s="6" t="s">
        <v>12</v>
      </c>
      <c r="H869" s="9" t="s">
        <v>1539</v>
      </c>
      <c r="I869" s="6" t="s">
        <v>1540</v>
      </c>
      <c r="J869" s="6" t="s">
        <v>19</v>
      </c>
      <c r="K869" s="6" t="s">
        <v>210</v>
      </c>
      <c r="L869" s="6" t="s">
        <v>29</v>
      </c>
    </row>
    <row r="870" spans="1:12">
      <c r="A870" s="3" t="s">
        <v>829</v>
      </c>
      <c r="B870" s="19">
        <v>2962</v>
      </c>
      <c r="C870" s="8">
        <v>1470</v>
      </c>
      <c r="D870" s="8">
        <v>1</v>
      </c>
      <c r="E870" s="8" t="s">
        <v>6</v>
      </c>
      <c r="F870" s="4" t="s">
        <v>21</v>
      </c>
      <c r="G870" s="4" t="s">
        <v>8</v>
      </c>
      <c r="H870" s="10">
        <v>44535</v>
      </c>
      <c r="I870" s="4" t="s">
        <v>830</v>
      </c>
      <c r="J870" s="4" t="s">
        <v>19</v>
      </c>
      <c r="K870" s="4" t="s">
        <v>126</v>
      </c>
      <c r="L870" s="4" t="s">
        <v>52</v>
      </c>
    </row>
    <row r="871" spans="1:12">
      <c r="A871" s="5" t="s">
        <v>829</v>
      </c>
      <c r="B871" s="20">
        <v>2962</v>
      </c>
      <c r="C871" s="9">
        <v>1470</v>
      </c>
      <c r="D871" s="9">
        <v>1</v>
      </c>
      <c r="E871" s="9" t="s">
        <v>6</v>
      </c>
      <c r="F871" s="6" t="s">
        <v>21</v>
      </c>
      <c r="G871" s="6" t="s">
        <v>8</v>
      </c>
      <c r="H871" s="9" t="s">
        <v>831</v>
      </c>
      <c r="I871" s="6" t="s">
        <v>832</v>
      </c>
      <c r="J871" s="6" t="s">
        <v>11</v>
      </c>
      <c r="K871" s="6" t="s">
        <v>136</v>
      </c>
      <c r="L871" s="6" t="s">
        <v>80</v>
      </c>
    </row>
    <row r="872" spans="1:12">
      <c r="A872" s="3" t="s">
        <v>1541</v>
      </c>
      <c r="B872" s="19">
        <v>2957</v>
      </c>
      <c r="C872" s="8">
        <v>917</v>
      </c>
      <c r="D872" s="8">
        <v>16</v>
      </c>
      <c r="E872" s="8" t="s">
        <v>14</v>
      </c>
      <c r="F872" s="4" t="s">
        <v>44</v>
      </c>
      <c r="G872" s="4" t="s">
        <v>16</v>
      </c>
      <c r="H872" s="8" t="s">
        <v>1542</v>
      </c>
      <c r="I872" s="4" t="s">
        <v>1543</v>
      </c>
      <c r="J872" s="4" t="s">
        <v>15</v>
      </c>
      <c r="K872" s="4" t="s">
        <v>132</v>
      </c>
      <c r="L872" s="4" t="s">
        <v>94</v>
      </c>
    </row>
    <row r="873" spans="1:12">
      <c r="A873" s="5" t="s">
        <v>1544</v>
      </c>
      <c r="B873" s="20">
        <v>2944</v>
      </c>
      <c r="C873" s="9">
        <v>249</v>
      </c>
      <c r="D873" s="9">
        <v>5</v>
      </c>
      <c r="E873" s="9" t="s">
        <v>14</v>
      </c>
      <c r="F873" s="6" t="s">
        <v>38</v>
      </c>
      <c r="G873" s="6" t="s">
        <v>12</v>
      </c>
      <c r="H873" s="9" t="s">
        <v>1545</v>
      </c>
      <c r="I873" s="6" t="s">
        <v>1546</v>
      </c>
      <c r="J873" s="6" t="s">
        <v>22</v>
      </c>
      <c r="K873" s="6" t="s">
        <v>179</v>
      </c>
      <c r="L873" s="6" t="s">
        <v>91</v>
      </c>
    </row>
    <row r="874" spans="1:12">
      <c r="A874" s="3" t="s">
        <v>1544</v>
      </c>
      <c r="B874" s="19">
        <v>2944</v>
      </c>
      <c r="C874" s="8">
        <v>249</v>
      </c>
      <c r="D874" s="8">
        <v>5</v>
      </c>
      <c r="E874" s="8" t="s">
        <v>14</v>
      </c>
      <c r="F874" s="4" t="s">
        <v>38</v>
      </c>
      <c r="G874" s="4" t="s">
        <v>12</v>
      </c>
      <c r="H874" s="8" t="s">
        <v>1547</v>
      </c>
      <c r="I874" s="4" t="s">
        <v>1548</v>
      </c>
      <c r="J874" s="4" t="s">
        <v>25</v>
      </c>
      <c r="K874" s="4" t="s">
        <v>129</v>
      </c>
      <c r="L874" s="4" t="s">
        <v>71</v>
      </c>
    </row>
    <row r="875" spans="1:12">
      <c r="A875" s="3" t="s">
        <v>397</v>
      </c>
      <c r="B875" s="19">
        <v>2939</v>
      </c>
      <c r="C875" s="8">
        <v>894</v>
      </c>
      <c r="D875" s="8">
        <v>20</v>
      </c>
      <c r="E875" s="8" t="s">
        <v>14</v>
      </c>
      <c r="F875" s="4" t="s">
        <v>38</v>
      </c>
      <c r="G875" s="4" t="s">
        <v>8</v>
      </c>
      <c r="H875" s="8" t="s">
        <v>398</v>
      </c>
      <c r="I875" s="4" t="s">
        <v>399</v>
      </c>
      <c r="J875" s="4" t="s">
        <v>7</v>
      </c>
      <c r="K875" s="4" t="s">
        <v>162</v>
      </c>
      <c r="L875" s="4" t="s">
        <v>45</v>
      </c>
    </row>
    <row r="876" spans="1:12">
      <c r="A876" s="5" t="s">
        <v>1549</v>
      </c>
      <c r="B876" s="20">
        <v>2931</v>
      </c>
      <c r="C876" s="9">
        <v>212</v>
      </c>
      <c r="D876" s="9">
        <v>7</v>
      </c>
      <c r="E876" s="9" t="s">
        <v>6</v>
      </c>
      <c r="F876" s="6" t="s">
        <v>13</v>
      </c>
      <c r="G876" s="6" t="s">
        <v>12</v>
      </c>
      <c r="H876" s="9" t="s">
        <v>1550</v>
      </c>
      <c r="I876" s="6" t="s">
        <v>1551</v>
      </c>
      <c r="J876" s="6" t="s">
        <v>15</v>
      </c>
      <c r="K876" s="6" t="s">
        <v>235</v>
      </c>
      <c r="L876" s="6" t="s">
        <v>89</v>
      </c>
    </row>
    <row r="877" spans="1:12">
      <c r="A877" s="3" t="s">
        <v>1549</v>
      </c>
      <c r="B877" s="19">
        <v>2931</v>
      </c>
      <c r="C877" s="8">
        <v>212</v>
      </c>
      <c r="D877" s="8">
        <v>7</v>
      </c>
      <c r="E877" s="8" t="s">
        <v>6</v>
      </c>
      <c r="F877" s="4" t="s">
        <v>13</v>
      </c>
      <c r="G877" s="4" t="s">
        <v>12</v>
      </c>
      <c r="H877" s="10">
        <v>45150</v>
      </c>
      <c r="I877" s="4" t="s">
        <v>1552</v>
      </c>
      <c r="J877" s="4" t="s">
        <v>11</v>
      </c>
      <c r="K877" s="4" t="s">
        <v>136</v>
      </c>
      <c r="L877" s="4" t="s">
        <v>83</v>
      </c>
    </row>
    <row r="878" spans="1:12">
      <c r="A878" s="3" t="s">
        <v>858</v>
      </c>
      <c r="B878" s="19">
        <v>2901</v>
      </c>
      <c r="C878" s="8">
        <v>1411</v>
      </c>
      <c r="D878" s="8">
        <v>2</v>
      </c>
      <c r="E878" s="8" t="s">
        <v>14</v>
      </c>
      <c r="F878" s="4" t="s">
        <v>42</v>
      </c>
      <c r="G878" s="4" t="s">
        <v>16</v>
      </c>
      <c r="H878" s="8" t="s">
        <v>859</v>
      </c>
      <c r="I878" s="4" t="s">
        <v>860</v>
      </c>
      <c r="J878" s="4" t="s">
        <v>25</v>
      </c>
      <c r="K878" s="4" t="s">
        <v>111</v>
      </c>
      <c r="L878" s="4" t="s">
        <v>57</v>
      </c>
    </row>
    <row r="879" spans="1:12">
      <c r="A879" s="5" t="s">
        <v>858</v>
      </c>
      <c r="B879" s="20">
        <v>2901</v>
      </c>
      <c r="C879" s="9">
        <v>1411</v>
      </c>
      <c r="D879" s="9">
        <v>2</v>
      </c>
      <c r="E879" s="9" t="s">
        <v>14</v>
      </c>
      <c r="F879" s="6" t="s">
        <v>42</v>
      </c>
      <c r="G879" s="6" t="s">
        <v>16</v>
      </c>
      <c r="H879" s="11">
        <v>45231</v>
      </c>
      <c r="I879" s="6" t="s">
        <v>861</v>
      </c>
      <c r="J879" s="6" t="s">
        <v>7</v>
      </c>
      <c r="K879" s="6" t="s">
        <v>205</v>
      </c>
      <c r="L879" s="6" t="s">
        <v>72</v>
      </c>
    </row>
    <row r="880" spans="1:12">
      <c r="A880" s="3" t="s">
        <v>1553</v>
      </c>
      <c r="B880" s="19">
        <v>2895</v>
      </c>
      <c r="C880" s="8">
        <v>104</v>
      </c>
      <c r="D880" s="8">
        <v>6</v>
      </c>
      <c r="E880" s="8" t="s">
        <v>10</v>
      </c>
      <c r="F880" s="4" t="s">
        <v>30</v>
      </c>
      <c r="G880" s="4" t="s">
        <v>8</v>
      </c>
      <c r="H880" s="8" t="s">
        <v>1554</v>
      </c>
      <c r="I880" s="4" t="s">
        <v>1555</v>
      </c>
      <c r="J880" s="4" t="s">
        <v>19</v>
      </c>
      <c r="K880" s="4" t="s">
        <v>126</v>
      </c>
      <c r="L880" s="4" t="s">
        <v>31</v>
      </c>
    </row>
    <row r="881" spans="1:12">
      <c r="A881" s="5" t="s">
        <v>1553</v>
      </c>
      <c r="B881" s="20">
        <v>2895</v>
      </c>
      <c r="C881" s="9">
        <v>104</v>
      </c>
      <c r="D881" s="9">
        <v>6</v>
      </c>
      <c r="E881" s="9" t="s">
        <v>10</v>
      </c>
      <c r="F881" s="6" t="s">
        <v>30</v>
      </c>
      <c r="G881" s="6" t="s">
        <v>8</v>
      </c>
      <c r="H881" s="9" t="s">
        <v>1556</v>
      </c>
      <c r="I881" s="6" t="s">
        <v>1557</v>
      </c>
      <c r="J881" s="6" t="s">
        <v>25</v>
      </c>
      <c r="K881" s="6" t="s">
        <v>253</v>
      </c>
      <c r="L881" s="6" t="s">
        <v>88</v>
      </c>
    </row>
    <row r="882" spans="1:12">
      <c r="A882" s="5" t="s">
        <v>569</v>
      </c>
      <c r="B882" s="20">
        <v>2863</v>
      </c>
      <c r="C882" s="9">
        <v>205</v>
      </c>
      <c r="D882" s="9">
        <v>17</v>
      </c>
      <c r="E882" s="9" t="s">
        <v>6</v>
      </c>
      <c r="F882" s="6" t="s">
        <v>21</v>
      </c>
      <c r="G882" s="6" t="s">
        <v>23</v>
      </c>
      <c r="H882" s="11">
        <v>44682</v>
      </c>
      <c r="I882" s="6" t="s">
        <v>570</v>
      </c>
      <c r="J882" s="6" t="s">
        <v>22</v>
      </c>
      <c r="K882" s="6" t="s">
        <v>117</v>
      </c>
      <c r="L882" s="6" t="s">
        <v>60</v>
      </c>
    </row>
    <row r="883" spans="1:12">
      <c r="A883" s="3" t="s">
        <v>569</v>
      </c>
      <c r="B883" s="19">
        <v>2863</v>
      </c>
      <c r="C883" s="8">
        <v>205</v>
      </c>
      <c r="D883" s="8">
        <v>17</v>
      </c>
      <c r="E883" s="8" t="s">
        <v>6</v>
      </c>
      <c r="F883" s="4" t="s">
        <v>21</v>
      </c>
      <c r="G883" s="4" t="s">
        <v>23</v>
      </c>
      <c r="H883" s="8" t="s">
        <v>571</v>
      </c>
      <c r="I883" s="4" t="s">
        <v>572</v>
      </c>
      <c r="J883" s="4" t="s">
        <v>19</v>
      </c>
      <c r="K883" s="4" t="s">
        <v>108</v>
      </c>
      <c r="L883" s="4" t="s">
        <v>43</v>
      </c>
    </row>
    <row r="884" spans="1:12">
      <c r="A884" s="5" t="s">
        <v>569</v>
      </c>
      <c r="B884" s="20">
        <v>2863</v>
      </c>
      <c r="C884" s="9">
        <v>205</v>
      </c>
      <c r="D884" s="9">
        <v>17</v>
      </c>
      <c r="E884" s="9" t="s">
        <v>6</v>
      </c>
      <c r="F884" s="6" t="s">
        <v>21</v>
      </c>
      <c r="G884" s="6" t="s">
        <v>23</v>
      </c>
      <c r="H884" s="9" t="s">
        <v>573</v>
      </c>
      <c r="I884" s="6" t="s">
        <v>574</v>
      </c>
      <c r="J884" s="6" t="s">
        <v>7</v>
      </c>
      <c r="K884" s="6" t="s">
        <v>205</v>
      </c>
      <c r="L884" s="6" t="s">
        <v>79</v>
      </c>
    </row>
    <row r="885" spans="1:12">
      <c r="A885" s="5" t="s">
        <v>591</v>
      </c>
      <c r="B885" s="20">
        <v>2858</v>
      </c>
      <c r="C885" s="9">
        <v>230</v>
      </c>
      <c r="D885" s="9">
        <v>3</v>
      </c>
      <c r="E885" s="9" t="s">
        <v>10</v>
      </c>
      <c r="F885" s="6" t="s">
        <v>34</v>
      </c>
      <c r="G885" s="6" t="s">
        <v>12</v>
      </c>
      <c r="H885" s="11">
        <v>44754</v>
      </c>
      <c r="I885" s="6" t="s">
        <v>592</v>
      </c>
      <c r="J885" s="6" t="s">
        <v>15</v>
      </c>
      <c r="K885" s="6" t="s">
        <v>132</v>
      </c>
      <c r="L885" s="6" t="s">
        <v>71</v>
      </c>
    </row>
    <row r="886" spans="1:12">
      <c r="A886" s="3" t="s">
        <v>591</v>
      </c>
      <c r="B886" s="19">
        <v>2858</v>
      </c>
      <c r="C886" s="8">
        <v>230</v>
      </c>
      <c r="D886" s="8">
        <v>3</v>
      </c>
      <c r="E886" s="8" t="s">
        <v>10</v>
      </c>
      <c r="F886" s="4" t="s">
        <v>34</v>
      </c>
      <c r="G886" s="4" t="s">
        <v>12</v>
      </c>
      <c r="H886" s="8" t="s">
        <v>264</v>
      </c>
      <c r="I886" s="4" t="s">
        <v>593</v>
      </c>
      <c r="J886" s="4" t="s">
        <v>25</v>
      </c>
      <c r="K886" s="4" t="s">
        <v>111</v>
      </c>
      <c r="L886" s="4" t="s">
        <v>87</v>
      </c>
    </row>
    <row r="887" spans="1:12">
      <c r="A887" s="5" t="s">
        <v>1558</v>
      </c>
      <c r="B887" s="20">
        <v>2858</v>
      </c>
      <c r="C887" s="9">
        <v>482</v>
      </c>
      <c r="D887" s="9">
        <v>13</v>
      </c>
      <c r="E887" s="9" t="s">
        <v>6</v>
      </c>
      <c r="F887" s="6" t="s">
        <v>13</v>
      </c>
      <c r="G887" s="6" t="s">
        <v>8</v>
      </c>
      <c r="H887" s="9" t="s">
        <v>1559</v>
      </c>
      <c r="I887" s="6" t="s">
        <v>1560</v>
      </c>
      <c r="J887" s="6" t="s">
        <v>25</v>
      </c>
      <c r="K887" s="6" t="s">
        <v>111</v>
      </c>
      <c r="L887" s="6" t="s">
        <v>88</v>
      </c>
    </row>
    <row r="888" spans="1:12">
      <c r="A888" s="5" t="s">
        <v>582</v>
      </c>
      <c r="B888" s="20">
        <v>2850</v>
      </c>
      <c r="C888" s="9">
        <v>904</v>
      </c>
      <c r="D888" s="9">
        <v>6</v>
      </c>
      <c r="E888" s="9" t="s">
        <v>6</v>
      </c>
      <c r="F888" s="6" t="s">
        <v>21</v>
      </c>
      <c r="G888" s="6" t="s">
        <v>20</v>
      </c>
      <c r="H888" s="9" t="s">
        <v>583</v>
      </c>
      <c r="I888" s="6" t="s">
        <v>584</v>
      </c>
      <c r="J888" s="6" t="s">
        <v>15</v>
      </c>
      <c r="K888" s="6" t="s">
        <v>132</v>
      </c>
      <c r="L888" s="6" t="s">
        <v>29</v>
      </c>
    </row>
    <row r="889" spans="1:12">
      <c r="A889" s="3" t="s">
        <v>582</v>
      </c>
      <c r="B889" s="19">
        <v>2850</v>
      </c>
      <c r="C889" s="8">
        <v>904</v>
      </c>
      <c r="D889" s="8">
        <v>6</v>
      </c>
      <c r="E889" s="8" t="s">
        <v>6</v>
      </c>
      <c r="F889" s="4" t="s">
        <v>21</v>
      </c>
      <c r="G889" s="4" t="s">
        <v>20</v>
      </c>
      <c r="H889" s="8" t="s">
        <v>166</v>
      </c>
      <c r="I889" s="4" t="s">
        <v>585</v>
      </c>
      <c r="J889" s="4" t="s">
        <v>19</v>
      </c>
      <c r="K889" s="4" t="s">
        <v>126</v>
      </c>
      <c r="L889" s="4" t="s">
        <v>43</v>
      </c>
    </row>
    <row r="890" spans="1:12">
      <c r="A890" s="5" t="s">
        <v>1093</v>
      </c>
      <c r="B890" s="20">
        <v>2841</v>
      </c>
      <c r="C890" s="9">
        <v>803</v>
      </c>
      <c r="D890" s="9">
        <v>20</v>
      </c>
      <c r="E890" s="9" t="s">
        <v>6</v>
      </c>
      <c r="F890" s="6" t="s">
        <v>17</v>
      </c>
      <c r="G890" s="6" t="s">
        <v>12</v>
      </c>
      <c r="H890" s="9" t="s">
        <v>1094</v>
      </c>
      <c r="I890" s="6" t="s">
        <v>1095</v>
      </c>
      <c r="J890" s="6" t="s">
        <v>25</v>
      </c>
      <c r="K890" s="6" t="s">
        <v>111</v>
      </c>
      <c r="L890" s="6" t="s">
        <v>80</v>
      </c>
    </row>
    <row r="891" spans="1:12">
      <c r="A891" s="5" t="s">
        <v>1561</v>
      </c>
      <c r="B891" s="20">
        <v>2831</v>
      </c>
      <c r="C891" s="9">
        <v>1289</v>
      </c>
      <c r="D891" s="9">
        <v>12</v>
      </c>
      <c r="E891" s="9" t="s">
        <v>10</v>
      </c>
      <c r="F891" s="6" t="s">
        <v>30</v>
      </c>
      <c r="G891" s="6" t="s">
        <v>16</v>
      </c>
      <c r="H891" s="11">
        <v>43871</v>
      </c>
      <c r="I891" s="6" t="s">
        <v>1562</v>
      </c>
      <c r="J891" s="6" t="s">
        <v>19</v>
      </c>
      <c r="K891" s="6" t="s">
        <v>210</v>
      </c>
      <c r="L891" s="6" t="s">
        <v>43</v>
      </c>
    </row>
    <row r="892" spans="1:12">
      <c r="A892" s="3" t="s">
        <v>1563</v>
      </c>
      <c r="B892" s="19">
        <v>2804</v>
      </c>
      <c r="C892" s="8">
        <v>936</v>
      </c>
      <c r="D892" s="8">
        <v>10</v>
      </c>
      <c r="E892" s="8" t="s">
        <v>6</v>
      </c>
      <c r="F892" s="4" t="s">
        <v>13</v>
      </c>
      <c r="G892" s="4" t="s">
        <v>12</v>
      </c>
      <c r="H892" s="10">
        <v>44714</v>
      </c>
      <c r="I892" s="4" t="s">
        <v>1564</v>
      </c>
      <c r="J892" s="4" t="s">
        <v>25</v>
      </c>
      <c r="K892" s="4" t="s">
        <v>111</v>
      </c>
      <c r="L892" s="4" t="s">
        <v>61</v>
      </c>
    </row>
    <row r="893" spans="1:12">
      <c r="A893" s="5" t="s">
        <v>1563</v>
      </c>
      <c r="B893" s="20">
        <v>2804</v>
      </c>
      <c r="C893" s="9">
        <v>936</v>
      </c>
      <c r="D893" s="9">
        <v>10</v>
      </c>
      <c r="E893" s="9" t="s">
        <v>6</v>
      </c>
      <c r="F893" s="6" t="s">
        <v>13</v>
      </c>
      <c r="G893" s="6" t="s">
        <v>12</v>
      </c>
      <c r="H893" s="11">
        <v>44085</v>
      </c>
      <c r="I893" s="6" t="s">
        <v>1565</v>
      </c>
      <c r="J893" s="6" t="s">
        <v>11</v>
      </c>
      <c r="K893" s="6" t="s">
        <v>136</v>
      </c>
      <c r="L893" s="6" t="s">
        <v>45</v>
      </c>
    </row>
    <row r="894" spans="1:12">
      <c r="A894" s="3" t="s">
        <v>1563</v>
      </c>
      <c r="B894" s="19">
        <v>2804</v>
      </c>
      <c r="C894" s="8">
        <v>936</v>
      </c>
      <c r="D894" s="8">
        <v>10</v>
      </c>
      <c r="E894" s="8" t="s">
        <v>6</v>
      </c>
      <c r="F894" s="4" t="s">
        <v>13</v>
      </c>
      <c r="G894" s="4" t="s">
        <v>12</v>
      </c>
      <c r="H894" s="10">
        <v>44990</v>
      </c>
      <c r="I894" s="4" t="s">
        <v>1566</v>
      </c>
      <c r="J894" s="4" t="s">
        <v>11</v>
      </c>
      <c r="K894" s="4" t="s">
        <v>136</v>
      </c>
      <c r="L894" s="4" t="s">
        <v>76</v>
      </c>
    </row>
    <row r="895" spans="1:12">
      <c r="A895" s="5" t="s">
        <v>559</v>
      </c>
      <c r="B895" s="20">
        <v>2799</v>
      </c>
      <c r="C895" s="9">
        <v>1239</v>
      </c>
      <c r="D895" s="9">
        <v>5</v>
      </c>
      <c r="E895" s="9" t="s">
        <v>10</v>
      </c>
      <c r="F895" s="6" t="s">
        <v>32</v>
      </c>
      <c r="G895" s="6" t="s">
        <v>16</v>
      </c>
      <c r="H895" s="9" t="s">
        <v>560</v>
      </c>
      <c r="I895" s="6" t="s">
        <v>561</v>
      </c>
      <c r="J895" s="6" t="s">
        <v>25</v>
      </c>
      <c r="K895" s="6" t="s">
        <v>253</v>
      </c>
      <c r="L895" s="6" t="s">
        <v>39</v>
      </c>
    </row>
    <row r="896" spans="1:12">
      <c r="A896" s="3" t="s">
        <v>559</v>
      </c>
      <c r="B896" s="19">
        <v>2799</v>
      </c>
      <c r="C896" s="8">
        <v>1239</v>
      </c>
      <c r="D896" s="8">
        <v>5</v>
      </c>
      <c r="E896" s="8" t="s">
        <v>10</v>
      </c>
      <c r="F896" s="4" t="s">
        <v>32</v>
      </c>
      <c r="G896" s="4" t="s">
        <v>16</v>
      </c>
      <c r="H896" s="8" t="s">
        <v>562</v>
      </c>
      <c r="I896" s="4" t="s">
        <v>563</v>
      </c>
      <c r="J896" s="4" t="s">
        <v>15</v>
      </c>
      <c r="K896" s="4" t="s">
        <v>132</v>
      </c>
      <c r="L896" s="4" t="s">
        <v>75</v>
      </c>
    </row>
    <row r="897" spans="1:12">
      <c r="A897" s="5" t="s">
        <v>559</v>
      </c>
      <c r="B897" s="20">
        <v>2799</v>
      </c>
      <c r="C897" s="9">
        <v>1239</v>
      </c>
      <c r="D897" s="9">
        <v>5</v>
      </c>
      <c r="E897" s="9" t="s">
        <v>10</v>
      </c>
      <c r="F897" s="6" t="s">
        <v>32</v>
      </c>
      <c r="G897" s="6" t="s">
        <v>16</v>
      </c>
      <c r="H897" s="9" t="s">
        <v>564</v>
      </c>
      <c r="I897" s="6" t="s">
        <v>565</v>
      </c>
      <c r="J897" s="6" t="s">
        <v>7</v>
      </c>
      <c r="K897" s="6" t="s">
        <v>124</v>
      </c>
      <c r="L897" s="6" t="s">
        <v>83</v>
      </c>
    </row>
    <row r="898" spans="1:12">
      <c r="A898" s="3" t="s">
        <v>1567</v>
      </c>
      <c r="B898" s="19">
        <v>2792</v>
      </c>
      <c r="C898" s="8">
        <v>1008</v>
      </c>
      <c r="D898" s="8">
        <v>8</v>
      </c>
      <c r="E898" s="8" t="s">
        <v>6</v>
      </c>
      <c r="F898" s="4" t="s">
        <v>24</v>
      </c>
      <c r="G898" s="4" t="s">
        <v>8</v>
      </c>
      <c r="H898" s="8" t="s">
        <v>1568</v>
      </c>
      <c r="I898" s="4" t="s">
        <v>1569</v>
      </c>
      <c r="J898" s="4" t="s">
        <v>11</v>
      </c>
      <c r="K898" s="4" t="s">
        <v>156</v>
      </c>
      <c r="L898" s="4" t="s">
        <v>49</v>
      </c>
    </row>
    <row r="899" spans="1:12">
      <c r="A899" s="3" t="s">
        <v>411</v>
      </c>
      <c r="B899" s="19">
        <v>2791</v>
      </c>
      <c r="C899" s="8">
        <v>894</v>
      </c>
      <c r="D899" s="8">
        <v>14</v>
      </c>
      <c r="E899" s="8" t="s">
        <v>6</v>
      </c>
      <c r="F899" s="4" t="s">
        <v>17</v>
      </c>
      <c r="G899" s="4" t="s">
        <v>8</v>
      </c>
      <c r="H899" s="10">
        <v>44783</v>
      </c>
      <c r="I899" s="4" t="s">
        <v>412</v>
      </c>
      <c r="J899" s="4" t="s">
        <v>25</v>
      </c>
      <c r="K899" s="4" t="s">
        <v>111</v>
      </c>
      <c r="L899" s="4" t="s">
        <v>69</v>
      </c>
    </row>
    <row r="900" spans="1:12">
      <c r="A900" s="5" t="s">
        <v>411</v>
      </c>
      <c r="B900" s="20">
        <v>2791</v>
      </c>
      <c r="C900" s="9">
        <v>894</v>
      </c>
      <c r="D900" s="9">
        <v>14</v>
      </c>
      <c r="E900" s="9" t="s">
        <v>6</v>
      </c>
      <c r="F900" s="6" t="s">
        <v>17</v>
      </c>
      <c r="G900" s="6" t="s">
        <v>8</v>
      </c>
      <c r="H900" s="9" t="s">
        <v>413</v>
      </c>
      <c r="I900" s="6" t="s">
        <v>414</v>
      </c>
      <c r="J900" s="6" t="s">
        <v>22</v>
      </c>
      <c r="K900" s="6" t="s">
        <v>223</v>
      </c>
      <c r="L900" s="6" t="s">
        <v>81</v>
      </c>
    </row>
    <row r="901" spans="1:12">
      <c r="A901" s="3" t="s">
        <v>411</v>
      </c>
      <c r="B901" s="19">
        <v>2791</v>
      </c>
      <c r="C901" s="8">
        <v>894</v>
      </c>
      <c r="D901" s="8">
        <v>14</v>
      </c>
      <c r="E901" s="8" t="s">
        <v>6</v>
      </c>
      <c r="F901" s="4" t="s">
        <v>17</v>
      </c>
      <c r="G901" s="4" t="s">
        <v>8</v>
      </c>
      <c r="H901" s="10">
        <v>44441</v>
      </c>
      <c r="I901" s="4" t="s">
        <v>415</v>
      </c>
      <c r="J901" s="4" t="s">
        <v>25</v>
      </c>
      <c r="K901" s="4" t="s">
        <v>129</v>
      </c>
      <c r="L901" s="4" t="s">
        <v>49</v>
      </c>
    </row>
    <row r="902" spans="1:12">
      <c r="A902" s="5" t="s">
        <v>1382</v>
      </c>
      <c r="B902" s="20">
        <v>2776</v>
      </c>
      <c r="C902" s="9">
        <v>887</v>
      </c>
      <c r="D902" s="9">
        <v>9</v>
      </c>
      <c r="E902" s="9" t="s">
        <v>6</v>
      </c>
      <c r="F902" s="6" t="s">
        <v>21</v>
      </c>
      <c r="G902" s="6" t="s">
        <v>16</v>
      </c>
      <c r="H902" s="11">
        <v>44929</v>
      </c>
      <c r="I902" s="6" t="s">
        <v>1383</v>
      </c>
      <c r="J902" s="6" t="s">
        <v>22</v>
      </c>
      <c r="K902" s="6" t="s">
        <v>117</v>
      </c>
      <c r="L902" s="6" t="s">
        <v>74</v>
      </c>
    </row>
    <row r="903" spans="1:12">
      <c r="A903" s="3" t="s">
        <v>1570</v>
      </c>
      <c r="B903" s="19">
        <v>2759</v>
      </c>
      <c r="C903" s="8">
        <v>1149</v>
      </c>
      <c r="D903" s="8">
        <v>6</v>
      </c>
      <c r="E903" s="8" t="s">
        <v>10</v>
      </c>
      <c r="F903" s="4" t="s">
        <v>34</v>
      </c>
      <c r="G903" s="4" t="s">
        <v>12</v>
      </c>
      <c r="H903" s="8" t="s">
        <v>244</v>
      </c>
      <c r="I903" s="4" t="s">
        <v>1571</v>
      </c>
      <c r="J903" s="4" t="s">
        <v>19</v>
      </c>
      <c r="K903" s="4" t="s">
        <v>210</v>
      </c>
      <c r="L903" s="4" t="s">
        <v>95</v>
      </c>
    </row>
    <row r="904" spans="1:12">
      <c r="A904" s="5" t="s">
        <v>489</v>
      </c>
      <c r="B904" s="20">
        <v>2750</v>
      </c>
      <c r="C904" s="9">
        <v>1239</v>
      </c>
      <c r="D904" s="9">
        <v>11</v>
      </c>
      <c r="E904" s="9" t="s">
        <v>6</v>
      </c>
      <c r="F904" s="6" t="s">
        <v>21</v>
      </c>
      <c r="G904" s="6" t="s">
        <v>16</v>
      </c>
      <c r="H904" s="11">
        <v>45933</v>
      </c>
      <c r="I904" s="6" t="s">
        <v>490</v>
      </c>
      <c r="J904" s="6" t="s">
        <v>19</v>
      </c>
      <c r="K904" s="6" t="s">
        <v>126</v>
      </c>
      <c r="L904" s="6" t="s">
        <v>98</v>
      </c>
    </row>
    <row r="905" spans="1:12">
      <c r="A905" s="3" t="s">
        <v>489</v>
      </c>
      <c r="B905" s="19">
        <v>2750</v>
      </c>
      <c r="C905" s="8">
        <v>1239</v>
      </c>
      <c r="D905" s="8">
        <v>11</v>
      </c>
      <c r="E905" s="8" t="s">
        <v>6</v>
      </c>
      <c r="F905" s="4" t="s">
        <v>21</v>
      </c>
      <c r="G905" s="4" t="s">
        <v>16</v>
      </c>
      <c r="H905" s="8" t="s">
        <v>491</v>
      </c>
      <c r="I905" s="4" t="s">
        <v>492</v>
      </c>
      <c r="J905" s="4" t="s">
        <v>22</v>
      </c>
      <c r="K905" s="4" t="s">
        <v>117</v>
      </c>
      <c r="L905" s="4" t="s">
        <v>92</v>
      </c>
    </row>
    <row r="906" spans="1:12">
      <c r="A906" s="3" t="s">
        <v>654</v>
      </c>
      <c r="B906" s="19">
        <v>2740</v>
      </c>
      <c r="C906" s="8">
        <v>558</v>
      </c>
      <c r="D906" s="8">
        <v>8</v>
      </c>
      <c r="E906" s="8" t="s">
        <v>14</v>
      </c>
      <c r="F906" s="4" t="s">
        <v>44</v>
      </c>
      <c r="G906" s="4" t="s">
        <v>23</v>
      </c>
      <c r="H906" s="8" t="s">
        <v>655</v>
      </c>
      <c r="I906" s="4" t="s">
        <v>656</v>
      </c>
      <c r="J906" s="4" t="s">
        <v>22</v>
      </c>
      <c r="K906" s="4" t="s">
        <v>223</v>
      </c>
      <c r="L906" s="4" t="s">
        <v>81</v>
      </c>
    </row>
    <row r="907" spans="1:12">
      <c r="A907" s="5" t="s">
        <v>654</v>
      </c>
      <c r="B907" s="20">
        <v>2740</v>
      </c>
      <c r="C907" s="9">
        <v>558</v>
      </c>
      <c r="D907" s="9">
        <v>8</v>
      </c>
      <c r="E907" s="9" t="s">
        <v>14</v>
      </c>
      <c r="F907" s="6" t="s">
        <v>44</v>
      </c>
      <c r="G907" s="6" t="s">
        <v>23</v>
      </c>
      <c r="H907" s="11">
        <v>45660</v>
      </c>
      <c r="I907" s="6" t="s">
        <v>657</v>
      </c>
      <c r="J907" s="6" t="s">
        <v>7</v>
      </c>
      <c r="K907" s="6" t="s">
        <v>162</v>
      </c>
      <c r="L907" s="6" t="s">
        <v>98</v>
      </c>
    </row>
    <row r="908" spans="1:12">
      <c r="A908" s="5" t="s">
        <v>1572</v>
      </c>
      <c r="B908" s="20">
        <v>2737</v>
      </c>
      <c r="C908" s="9">
        <v>1253</v>
      </c>
      <c r="D908" s="9">
        <v>3</v>
      </c>
      <c r="E908" s="9" t="s">
        <v>6</v>
      </c>
      <c r="F908" s="6" t="s">
        <v>24</v>
      </c>
      <c r="G908" s="6" t="s">
        <v>20</v>
      </c>
      <c r="H908" s="9" t="s">
        <v>1573</v>
      </c>
      <c r="I908" s="6" t="s">
        <v>1574</v>
      </c>
      <c r="J908" s="6" t="s">
        <v>19</v>
      </c>
      <c r="K908" s="6" t="s">
        <v>210</v>
      </c>
      <c r="L908" s="6" t="s">
        <v>51</v>
      </c>
    </row>
    <row r="909" spans="1:12">
      <c r="A909" s="5" t="s">
        <v>1575</v>
      </c>
      <c r="B909" s="20">
        <v>2727</v>
      </c>
      <c r="C909" s="9">
        <v>543</v>
      </c>
      <c r="D909" s="9">
        <v>10</v>
      </c>
      <c r="E909" s="9" t="s">
        <v>10</v>
      </c>
      <c r="F909" s="6" t="s">
        <v>28</v>
      </c>
      <c r="G909" s="6" t="s">
        <v>12</v>
      </c>
      <c r="H909" s="9" t="s">
        <v>1576</v>
      </c>
      <c r="I909" s="6" t="s">
        <v>1577</v>
      </c>
      <c r="J909" s="6" t="s">
        <v>19</v>
      </c>
      <c r="K909" s="6" t="s">
        <v>126</v>
      </c>
      <c r="L909" s="6" t="s">
        <v>66</v>
      </c>
    </row>
    <row r="910" spans="1:12">
      <c r="A910" s="3" t="s">
        <v>1575</v>
      </c>
      <c r="B910" s="19">
        <v>2727</v>
      </c>
      <c r="C910" s="8">
        <v>543</v>
      </c>
      <c r="D910" s="8">
        <v>10</v>
      </c>
      <c r="E910" s="8" t="s">
        <v>10</v>
      </c>
      <c r="F910" s="4" t="s">
        <v>28</v>
      </c>
      <c r="G910" s="4" t="s">
        <v>12</v>
      </c>
      <c r="H910" s="10">
        <v>45424</v>
      </c>
      <c r="I910" s="4" t="s">
        <v>1578</v>
      </c>
      <c r="J910" s="4" t="s">
        <v>19</v>
      </c>
      <c r="K910" s="4" t="s">
        <v>108</v>
      </c>
      <c r="L910" s="4" t="s">
        <v>95</v>
      </c>
    </row>
    <row r="911" spans="1:12">
      <c r="A911" s="3" t="s">
        <v>1579</v>
      </c>
      <c r="B911" s="19">
        <v>2727</v>
      </c>
      <c r="C911" s="8">
        <v>663</v>
      </c>
      <c r="D911" s="8">
        <v>8</v>
      </c>
      <c r="E911" s="8" t="s">
        <v>6</v>
      </c>
      <c r="F911" s="4" t="s">
        <v>21</v>
      </c>
      <c r="G911" s="4" t="s">
        <v>12</v>
      </c>
      <c r="H911" s="10">
        <v>44753</v>
      </c>
      <c r="I911" s="4" t="s">
        <v>1580</v>
      </c>
      <c r="J911" s="4" t="s">
        <v>11</v>
      </c>
      <c r="K911" s="4" t="s">
        <v>156</v>
      </c>
      <c r="L911" s="4" t="s">
        <v>70</v>
      </c>
    </row>
    <row r="912" spans="1:12">
      <c r="A912" s="3" t="s">
        <v>1514</v>
      </c>
      <c r="B912" s="19">
        <v>2710</v>
      </c>
      <c r="C912" s="8">
        <v>555</v>
      </c>
      <c r="D912" s="8">
        <v>20</v>
      </c>
      <c r="E912" s="8" t="s">
        <v>6</v>
      </c>
      <c r="F912" s="4" t="s">
        <v>17</v>
      </c>
      <c r="G912" s="4" t="s">
        <v>16</v>
      </c>
      <c r="H912" s="8" t="s">
        <v>1173</v>
      </c>
      <c r="I912" s="4" t="s">
        <v>1515</v>
      </c>
      <c r="J912" s="4" t="s">
        <v>15</v>
      </c>
      <c r="K912" s="4" t="s">
        <v>132</v>
      </c>
      <c r="L912" s="4" t="s">
        <v>93</v>
      </c>
    </row>
    <row r="913" spans="1:12">
      <c r="A913" s="5" t="s">
        <v>801</v>
      </c>
      <c r="B913" s="20">
        <v>2701</v>
      </c>
      <c r="C913" s="9">
        <v>322</v>
      </c>
      <c r="D913" s="9">
        <v>11</v>
      </c>
      <c r="E913" s="9" t="s">
        <v>6</v>
      </c>
      <c r="F913" s="6" t="s">
        <v>24</v>
      </c>
      <c r="G913" s="6" t="s">
        <v>23</v>
      </c>
      <c r="H913" s="9" t="s">
        <v>802</v>
      </c>
      <c r="I913" s="6" t="s">
        <v>803</v>
      </c>
      <c r="J913" s="6" t="s">
        <v>19</v>
      </c>
      <c r="K913" s="6" t="s">
        <v>210</v>
      </c>
      <c r="L913" s="6" t="s">
        <v>65</v>
      </c>
    </row>
    <row r="914" spans="1:12">
      <c r="A914" s="3" t="s">
        <v>1581</v>
      </c>
      <c r="B914" s="19">
        <v>2695</v>
      </c>
      <c r="C914" s="8">
        <v>914</v>
      </c>
      <c r="D914" s="8">
        <v>15</v>
      </c>
      <c r="E914" s="8" t="s">
        <v>10</v>
      </c>
      <c r="F914" s="4" t="s">
        <v>28</v>
      </c>
      <c r="G914" s="4" t="s">
        <v>16</v>
      </c>
      <c r="H914" s="8" t="s">
        <v>1582</v>
      </c>
      <c r="I914" s="4" t="s">
        <v>1583</v>
      </c>
      <c r="J914" s="4" t="s">
        <v>15</v>
      </c>
      <c r="K914" s="4" t="s">
        <v>235</v>
      </c>
      <c r="L914" s="4" t="s">
        <v>66</v>
      </c>
    </row>
    <row r="915" spans="1:12">
      <c r="A915" s="5" t="s">
        <v>1581</v>
      </c>
      <c r="B915" s="20">
        <v>2695</v>
      </c>
      <c r="C915" s="9">
        <v>914</v>
      </c>
      <c r="D915" s="9">
        <v>15</v>
      </c>
      <c r="E915" s="9" t="s">
        <v>10</v>
      </c>
      <c r="F915" s="6" t="s">
        <v>28</v>
      </c>
      <c r="G915" s="6" t="s">
        <v>16</v>
      </c>
      <c r="H915" s="9" t="s">
        <v>1584</v>
      </c>
      <c r="I915" s="6" t="s">
        <v>1585</v>
      </c>
      <c r="J915" s="6" t="s">
        <v>7</v>
      </c>
      <c r="K915" s="6" t="s">
        <v>205</v>
      </c>
      <c r="L915" s="6" t="s">
        <v>53</v>
      </c>
    </row>
    <row r="916" spans="1:12">
      <c r="A916" s="5" t="s">
        <v>1586</v>
      </c>
      <c r="B916" s="20">
        <v>2689</v>
      </c>
      <c r="C916" s="9">
        <v>1330</v>
      </c>
      <c r="D916" s="9">
        <v>3</v>
      </c>
      <c r="E916" s="9" t="s">
        <v>10</v>
      </c>
      <c r="F916" s="6" t="s">
        <v>34</v>
      </c>
      <c r="G916" s="6" t="s">
        <v>23</v>
      </c>
      <c r="H916" s="9" t="s">
        <v>504</v>
      </c>
      <c r="I916" s="6" t="s">
        <v>1587</v>
      </c>
      <c r="J916" s="6" t="s">
        <v>7</v>
      </c>
      <c r="K916" s="6" t="s">
        <v>205</v>
      </c>
      <c r="L916" s="6" t="s">
        <v>47</v>
      </c>
    </row>
    <row r="917" spans="1:12">
      <c r="A917" s="3" t="s">
        <v>1586</v>
      </c>
      <c r="B917" s="19">
        <v>2689</v>
      </c>
      <c r="C917" s="8">
        <v>1330</v>
      </c>
      <c r="D917" s="8">
        <v>3</v>
      </c>
      <c r="E917" s="8" t="s">
        <v>10</v>
      </c>
      <c r="F917" s="4" t="s">
        <v>34</v>
      </c>
      <c r="G917" s="4" t="s">
        <v>23</v>
      </c>
      <c r="H917" s="8" t="s">
        <v>1140</v>
      </c>
      <c r="I917" s="4" t="s">
        <v>1588</v>
      </c>
      <c r="J917" s="4" t="s">
        <v>11</v>
      </c>
      <c r="K917" s="4" t="s">
        <v>156</v>
      </c>
      <c r="L917" s="4" t="s">
        <v>88</v>
      </c>
    </row>
    <row r="918" spans="1:12">
      <c r="A918" s="3" t="s">
        <v>133</v>
      </c>
      <c r="B918" s="19">
        <v>2685</v>
      </c>
      <c r="C918" s="8">
        <v>379</v>
      </c>
      <c r="D918" s="8">
        <v>18</v>
      </c>
      <c r="E918" s="8" t="s">
        <v>6</v>
      </c>
      <c r="F918" s="4" t="s">
        <v>21</v>
      </c>
      <c r="G918" s="4" t="s">
        <v>23</v>
      </c>
      <c r="H918" s="10">
        <v>44776</v>
      </c>
      <c r="I918" s="4" t="s">
        <v>134</v>
      </c>
      <c r="J918" s="4" t="s">
        <v>22</v>
      </c>
      <c r="K918" s="4" t="s">
        <v>117</v>
      </c>
      <c r="L918" s="4" t="s">
        <v>62</v>
      </c>
    </row>
    <row r="919" spans="1:12">
      <c r="A919" s="5" t="s">
        <v>133</v>
      </c>
      <c r="B919" s="20">
        <v>2685</v>
      </c>
      <c r="C919" s="9">
        <v>379</v>
      </c>
      <c r="D919" s="9">
        <v>18</v>
      </c>
      <c r="E919" s="9" t="s">
        <v>6</v>
      </c>
      <c r="F919" s="6" t="s">
        <v>21</v>
      </c>
      <c r="G919" s="6" t="s">
        <v>23</v>
      </c>
      <c r="H919" s="11">
        <v>44785</v>
      </c>
      <c r="I919" s="6" t="s">
        <v>135</v>
      </c>
      <c r="J919" s="6" t="s">
        <v>11</v>
      </c>
      <c r="K919" s="6" t="s">
        <v>136</v>
      </c>
      <c r="L919" s="6" t="s">
        <v>71</v>
      </c>
    </row>
    <row r="920" spans="1:12">
      <c r="A920" s="3" t="s">
        <v>239</v>
      </c>
      <c r="B920" s="19">
        <v>2684</v>
      </c>
      <c r="C920" s="8">
        <v>670</v>
      </c>
      <c r="D920" s="8">
        <v>2</v>
      </c>
      <c r="E920" s="8" t="s">
        <v>14</v>
      </c>
      <c r="F920" s="4" t="s">
        <v>42</v>
      </c>
      <c r="G920" s="4" t="s">
        <v>8</v>
      </c>
      <c r="H920" s="10">
        <v>45329</v>
      </c>
      <c r="I920" s="4" t="s">
        <v>240</v>
      </c>
      <c r="J920" s="4" t="s">
        <v>11</v>
      </c>
      <c r="K920" s="4" t="s">
        <v>136</v>
      </c>
      <c r="L920" s="4" t="s">
        <v>90</v>
      </c>
    </row>
    <row r="921" spans="1:12">
      <c r="A921" s="5" t="s">
        <v>1589</v>
      </c>
      <c r="B921" s="20">
        <v>2684</v>
      </c>
      <c r="C921" s="9">
        <v>713</v>
      </c>
      <c r="D921" s="9">
        <v>2</v>
      </c>
      <c r="E921" s="9" t="s">
        <v>6</v>
      </c>
      <c r="F921" s="6" t="s">
        <v>13</v>
      </c>
      <c r="G921" s="6" t="s">
        <v>23</v>
      </c>
      <c r="H921" s="9" t="s">
        <v>932</v>
      </c>
      <c r="I921" s="6" t="s">
        <v>1590</v>
      </c>
      <c r="J921" s="6" t="s">
        <v>19</v>
      </c>
      <c r="K921" s="6" t="s">
        <v>210</v>
      </c>
      <c r="L921" s="6" t="s">
        <v>89</v>
      </c>
    </row>
    <row r="922" spans="1:12">
      <c r="A922" s="3" t="s">
        <v>1589</v>
      </c>
      <c r="B922" s="19">
        <v>2684</v>
      </c>
      <c r="C922" s="8">
        <v>713</v>
      </c>
      <c r="D922" s="8">
        <v>2</v>
      </c>
      <c r="E922" s="8" t="s">
        <v>6</v>
      </c>
      <c r="F922" s="4" t="s">
        <v>13</v>
      </c>
      <c r="G922" s="4" t="s">
        <v>23</v>
      </c>
      <c r="H922" s="10">
        <v>44687</v>
      </c>
      <c r="I922" s="4" t="s">
        <v>1591</v>
      </c>
      <c r="J922" s="4" t="s">
        <v>19</v>
      </c>
      <c r="K922" s="4" t="s">
        <v>126</v>
      </c>
      <c r="L922" s="4" t="s">
        <v>65</v>
      </c>
    </row>
    <row r="923" spans="1:12">
      <c r="A923" s="5" t="s">
        <v>1589</v>
      </c>
      <c r="B923" s="20">
        <v>2684</v>
      </c>
      <c r="C923" s="9">
        <v>713</v>
      </c>
      <c r="D923" s="9">
        <v>2</v>
      </c>
      <c r="E923" s="9" t="s">
        <v>6</v>
      </c>
      <c r="F923" s="6" t="s">
        <v>13</v>
      </c>
      <c r="G923" s="6" t="s">
        <v>23</v>
      </c>
      <c r="H923" s="11">
        <v>44140</v>
      </c>
      <c r="I923" s="6" t="s">
        <v>1592</v>
      </c>
      <c r="J923" s="6" t="s">
        <v>25</v>
      </c>
      <c r="K923" s="6" t="s">
        <v>129</v>
      </c>
      <c r="L923" s="6" t="s">
        <v>33</v>
      </c>
    </row>
    <row r="924" spans="1:12">
      <c r="A924" s="5" t="s">
        <v>1593</v>
      </c>
      <c r="B924" s="20">
        <v>2670</v>
      </c>
      <c r="C924" s="9">
        <v>1026</v>
      </c>
      <c r="D924" s="9">
        <v>1</v>
      </c>
      <c r="E924" s="9" t="s">
        <v>6</v>
      </c>
      <c r="F924" s="6" t="s">
        <v>17</v>
      </c>
      <c r="G924" s="6" t="s">
        <v>16</v>
      </c>
      <c r="H924" s="9" t="s">
        <v>484</v>
      </c>
      <c r="I924" s="6" t="s">
        <v>1594</v>
      </c>
      <c r="J924" s="6" t="s">
        <v>7</v>
      </c>
      <c r="K924" s="6" t="s">
        <v>162</v>
      </c>
      <c r="L924" s="6" t="s">
        <v>41</v>
      </c>
    </row>
    <row r="925" spans="1:12">
      <c r="A925" s="3" t="s">
        <v>1593</v>
      </c>
      <c r="B925" s="19">
        <v>2670</v>
      </c>
      <c r="C925" s="8">
        <v>1026</v>
      </c>
      <c r="D925" s="8">
        <v>1</v>
      </c>
      <c r="E925" s="8" t="s">
        <v>6</v>
      </c>
      <c r="F925" s="4" t="s">
        <v>17</v>
      </c>
      <c r="G925" s="4" t="s">
        <v>16</v>
      </c>
      <c r="H925" s="8" t="s">
        <v>1595</v>
      </c>
      <c r="I925" s="4" t="s">
        <v>1596</v>
      </c>
      <c r="J925" s="4" t="s">
        <v>11</v>
      </c>
      <c r="K925" s="4" t="s">
        <v>120</v>
      </c>
      <c r="L925" s="4" t="s">
        <v>97</v>
      </c>
    </row>
    <row r="926" spans="1:12">
      <c r="A926" s="5" t="s">
        <v>1593</v>
      </c>
      <c r="B926" s="20">
        <v>2670</v>
      </c>
      <c r="C926" s="9">
        <v>1026</v>
      </c>
      <c r="D926" s="9">
        <v>1</v>
      </c>
      <c r="E926" s="9" t="s">
        <v>6</v>
      </c>
      <c r="F926" s="6" t="s">
        <v>17</v>
      </c>
      <c r="G926" s="6" t="s">
        <v>16</v>
      </c>
      <c r="H926" s="9" t="s">
        <v>1509</v>
      </c>
      <c r="I926" s="6" t="s">
        <v>1597</v>
      </c>
      <c r="J926" s="6" t="s">
        <v>7</v>
      </c>
      <c r="K926" s="6" t="s">
        <v>124</v>
      </c>
      <c r="L926" s="6" t="s">
        <v>62</v>
      </c>
    </row>
    <row r="927" spans="1:12">
      <c r="A927" s="5" t="s">
        <v>1598</v>
      </c>
      <c r="B927" s="20">
        <v>2666</v>
      </c>
      <c r="C927" s="9">
        <v>559</v>
      </c>
      <c r="D927" s="9">
        <v>14</v>
      </c>
      <c r="E927" s="9" t="s">
        <v>10</v>
      </c>
      <c r="F927" s="6" t="s">
        <v>30</v>
      </c>
      <c r="G927" s="6" t="s">
        <v>8</v>
      </c>
      <c r="H927" s="9" t="s">
        <v>1042</v>
      </c>
      <c r="I927" s="6" t="s">
        <v>1599</v>
      </c>
      <c r="J927" s="6" t="s">
        <v>22</v>
      </c>
      <c r="K927" s="6" t="s">
        <v>117</v>
      </c>
      <c r="L927" s="6" t="s">
        <v>66</v>
      </c>
    </row>
    <row r="928" spans="1:12">
      <c r="A928" s="5" t="s">
        <v>1600</v>
      </c>
      <c r="B928" s="20">
        <v>2663</v>
      </c>
      <c r="C928" s="9">
        <v>64</v>
      </c>
      <c r="D928" s="9">
        <v>19</v>
      </c>
      <c r="E928" s="9" t="s">
        <v>10</v>
      </c>
      <c r="F928" s="6" t="s">
        <v>32</v>
      </c>
      <c r="G928" s="6" t="s">
        <v>8</v>
      </c>
      <c r="H928" s="9" t="s">
        <v>537</v>
      </c>
      <c r="I928" s="6" t="s">
        <v>1601</v>
      </c>
      <c r="J928" s="6" t="s">
        <v>7</v>
      </c>
      <c r="K928" s="6" t="s">
        <v>124</v>
      </c>
      <c r="L928" s="6" t="s">
        <v>89</v>
      </c>
    </row>
    <row r="929" spans="1:12">
      <c r="A929" s="3" t="s">
        <v>1600</v>
      </c>
      <c r="B929" s="19">
        <v>2663</v>
      </c>
      <c r="C929" s="8">
        <v>64</v>
      </c>
      <c r="D929" s="8">
        <v>19</v>
      </c>
      <c r="E929" s="8" t="s">
        <v>10</v>
      </c>
      <c r="F929" s="4" t="s">
        <v>32</v>
      </c>
      <c r="G929" s="4" t="s">
        <v>8</v>
      </c>
      <c r="H929" s="8" t="s">
        <v>514</v>
      </c>
      <c r="I929" s="4" t="s">
        <v>1602</v>
      </c>
      <c r="J929" s="4" t="s">
        <v>22</v>
      </c>
      <c r="K929" s="4" t="s">
        <v>117</v>
      </c>
      <c r="L929" s="4" t="s">
        <v>57</v>
      </c>
    </row>
    <row r="930" spans="1:12">
      <c r="A930" s="3" t="s">
        <v>1603</v>
      </c>
      <c r="B930" s="19">
        <v>2636</v>
      </c>
      <c r="C930" s="8">
        <v>88</v>
      </c>
      <c r="D930" s="8">
        <v>11</v>
      </c>
      <c r="E930" s="8" t="s">
        <v>14</v>
      </c>
      <c r="F930" s="4" t="s">
        <v>42</v>
      </c>
      <c r="G930" s="4" t="s">
        <v>16</v>
      </c>
      <c r="H930" s="8" t="s">
        <v>1427</v>
      </c>
      <c r="I930" s="4" t="s">
        <v>1604</v>
      </c>
      <c r="J930" s="4" t="s">
        <v>15</v>
      </c>
      <c r="K930" s="4" t="s">
        <v>235</v>
      </c>
      <c r="L930" s="4" t="s">
        <v>86</v>
      </c>
    </row>
    <row r="931" spans="1:12">
      <c r="A931" s="5" t="s">
        <v>1603</v>
      </c>
      <c r="B931" s="20">
        <v>2636</v>
      </c>
      <c r="C931" s="9">
        <v>88</v>
      </c>
      <c r="D931" s="9">
        <v>11</v>
      </c>
      <c r="E931" s="9" t="s">
        <v>14</v>
      </c>
      <c r="F931" s="6" t="s">
        <v>42</v>
      </c>
      <c r="G931" s="6" t="s">
        <v>16</v>
      </c>
      <c r="H931" s="11">
        <v>45300</v>
      </c>
      <c r="I931" s="6" t="s">
        <v>1605</v>
      </c>
      <c r="J931" s="6" t="s">
        <v>19</v>
      </c>
      <c r="K931" s="6" t="s">
        <v>126</v>
      </c>
      <c r="L931" s="6" t="s">
        <v>92</v>
      </c>
    </row>
    <row r="932" spans="1:12">
      <c r="A932" s="3" t="s">
        <v>1603</v>
      </c>
      <c r="B932" s="19">
        <v>2636</v>
      </c>
      <c r="C932" s="8">
        <v>88</v>
      </c>
      <c r="D932" s="8">
        <v>11</v>
      </c>
      <c r="E932" s="8" t="s">
        <v>14</v>
      </c>
      <c r="F932" s="4" t="s">
        <v>42</v>
      </c>
      <c r="G932" s="4" t="s">
        <v>16</v>
      </c>
      <c r="H932" s="8" t="s">
        <v>1606</v>
      </c>
      <c r="I932" s="4" t="s">
        <v>1607</v>
      </c>
      <c r="J932" s="4" t="s">
        <v>22</v>
      </c>
      <c r="K932" s="4" t="s">
        <v>179</v>
      </c>
      <c r="L932" s="4" t="s">
        <v>61</v>
      </c>
    </row>
    <row r="933" spans="1:12">
      <c r="A933" s="3" t="s">
        <v>342</v>
      </c>
      <c r="B933" s="19">
        <v>2596</v>
      </c>
      <c r="C933" s="8">
        <v>1003</v>
      </c>
      <c r="D933" s="8">
        <v>19</v>
      </c>
      <c r="E933" s="8" t="s">
        <v>14</v>
      </c>
      <c r="F933" s="4" t="s">
        <v>42</v>
      </c>
      <c r="G933" s="4" t="s">
        <v>12</v>
      </c>
      <c r="H933" s="8" t="s">
        <v>343</v>
      </c>
      <c r="I933" s="4" t="s">
        <v>344</v>
      </c>
      <c r="J933" s="4" t="s">
        <v>19</v>
      </c>
      <c r="K933" s="4" t="s">
        <v>126</v>
      </c>
      <c r="L933" s="4" t="s">
        <v>59</v>
      </c>
    </row>
    <row r="934" spans="1:12">
      <c r="A934" s="5" t="s">
        <v>342</v>
      </c>
      <c r="B934" s="20">
        <v>2596</v>
      </c>
      <c r="C934" s="9">
        <v>1003</v>
      </c>
      <c r="D934" s="9">
        <v>19</v>
      </c>
      <c r="E934" s="9" t="s">
        <v>14</v>
      </c>
      <c r="F934" s="6" t="s">
        <v>42</v>
      </c>
      <c r="G934" s="6" t="s">
        <v>12</v>
      </c>
      <c r="H934" s="9" t="s">
        <v>345</v>
      </c>
      <c r="I934" s="6" t="s">
        <v>346</v>
      </c>
      <c r="J934" s="6" t="s">
        <v>7</v>
      </c>
      <c r="K934" s="6" t="s">
        <v>124</v>
      </c>
      <c r="L934" s="6" t="s">
        <v>45</v>
      </c>
    </row>
    <row r="935" spans="1:12">
      <c r="A935" s="5" t="s">
        <v>1608</v>
      </c>
      <c r="B935" s="20">
        <v>2589</v>
      </c>
      <c r="C935" s="9">
        <v>605</v>
      </c>
      <c r="D935" s="9">
        <v>11</v>
      </c>
      <c r="E935" s="9" t="s">
        <v>14</v>
      </c>
      <c r="F935" s="6" t="s">
        <v>44</v>
      </c>
      <c r="G935" s="6" t="s">
        <v>20</v>
      </c>
      <c r="H935" s="11">
        <v>44968</v>
      </c>
      <c r="I935" s="6" t="s">
        <v>1609</v>
      </c>
      <c r="J935" s="6" t="s">
        <v>7</v>
      </c>
      <c r="K935" s="6" t="s">
        <v>124</v>
      </c>
      <c r="L935" s="6" t="s">
        <v>82</v>
      </c>
    </row>
    <row r="936" spans="1:12">
      <c r="A936" s="3" t="s">
        <v>1608</v>
      </c>
      <c r="B936" s="19">
        <v>2589</v>
      </c>
      <c r="C936" s="8">
        <v>605</v>
      </c>
      <c r="D936" s="8">
        <v>11</v>
      </c>
      <c r="E936" s="8" t="s">
        <v>14</v>
      </c>
      <c r="F936" s="4" t="s">
        <v>44</v>
      </c>
      <c r="G936" s="4" t="s">
        <v>20</v>
      </c>
      <c r="H936" s="10">
        <v>45422</v>
      </c>
      <c r="I936" s="4" t="s">
        <v>1610</v>
      </c>
      <c r="J936" s="4" t="s">
        <v>22</v>
      </c>
      <c r="K936" s="4" t="s">
        <v>117</v>
      </c>
      <c r="L936" s="4" t="s">
        <v>93</v>
      </c>
    </row>
    <row r="937" spans="1:12">
      <c r="A937" s="3" t="s">
        <v>1407</v>
      </c>
      <c r="B937" s="19">
        <v>2588</v>
      </c>
      <c r="C937" s="8">
        <v>705</v>
      </c>
      <c r="D937" s="8">
        <v>16</v>
      </c>
      <c r="E937" s="8" t="s">
        <v>14</v>
      </c>
      <c r="F937" s="4" t="s">
        <v>44</v>
      </c>
      <c r="G937" s="4" t="s">
        <v>12</v>
      </c>
      <c r="H937" s="8" t="s">
        <v>1408</v>
      </c>
      <c r="I937" s="4" t="s">
        <v>1409</v>
      </c>
      <c r="J937" s="4" t="s">
        <v>19</v>
      </c>
      <c r="K937" s="4" t="s">
        <v>210</v>
      </c>
      <c r="L937" s="4" t="s">
        <v>31</v>
      </c>
    </row>
    <row r="938" spans="1:12">
      <c r="A938" s="5" t="s">
        <v>1024</v>
      </c>
      <c r="B938" s="20">
        <v>2586</v>
      </c>
      <c r="C938" s="9">
        <v>800</v>
      </c>
      <c r="D938" s="9">
        <v>16</v>
      </c>
      <c r="E938" s="9" t="s">
        <v>10</v>
      </c>
      <c r="F938" s="6" t="s">
        <v>34</v>
      </c>
      <c r="G938" s="6" t="s">
        <v>23</v>
      </c>
      <c r="H938" s="9" t="s">
        <v>1025</v>
      </c>
      <c r="I938" s="6" t="s">
        <v>1026</v>
      </c>
      <c r="J938" s="6" t="s">
        <v>22</v>
      </c>
      <c r="K938" s="6" t="s">
        <v>223</v>
      </c>
      <c r="L938" s="6" t="s">
        <v>47</v>
      </c>
    </row>
    <row r="939" spans="1:12">
      <c r="A939" s="3" t="s">
        <v>1024</v>
      </c>
      <c r="B939" s="19">
        <v>2586</v>
      </c>
      <c r="C939" s="8">
        <v>800</v>
      </c>
      <c r="D939" s="8">
        <v>16</v>
      </c>
      <c r="E939" s="8" t="s">
        <v>10</v>
      </c>
      <c r="F939" s="4" t="s">
        <v>34</v>
      </c>
      <c r="G939" s="4" t="s">
        <v>23</v>
      </c>
      <c r="H939" s="8" t="s">
        <v>109</v>
      </c>
      <c r="I939" s="4" t="s">
        <v>1027</v>
      </c>
      <c r="J939" s="4" t="s">
        <v>22</v>
      </c>
      <c r="K939" s="4" t="s">
        <v>117</v>
      </c>
      <c r="L939" s="4" t="s">
        <v>63</v>
      </c>
    </row>
    <row r="940" spans="1:12">
      <c r="A940" s="5" t="s">
        <v>1024</v>
      </c>
      <c r="B940" s="20">
        <v>2586</v>
      </c>
      <c r="C940" s="9">
        <v>800</v>
      </c>
      <c r="D940" s="9">
        <v>16</v>
      </c>
      <c r="E940" s="9" t="s">
        <v>10</v>
      </c>
      <c r="F940" s="6" t="s">
        <v>34</v>
      </c>
      <c r="G940" s="6" t="s">
        <v>23</v>
      </c>
      <c r="H940" s="11">
        <v>45050</v>
      </c>
      <c r="I940" s="6" t="s">
        <v>1028</v>
      </c>
      <c r="J940" s="6" t="s">
        <v>15</v>
      </c>
      <c r="K940" s="6" t="s">
        <v>132</v>
      </c>
      <c r="L940" s="6" t="s">
        <v>75</v>
      </c>
    </row>
    <row r="941" spans="1:12">
      <c r="A941" s="5" t="s">
        <v>1233</v>
      </c>
      <c r="B941" s="20">
        <v>2565</v>
      </c>
      <c r="C941" s="9">
        <v>983</v>
      </c>
      <c r="D941" s="9">
        <v>20</v>
      </c>
      <c r="E941" s="9" t="s">
        <v>6</v>
      </c>
      <c r="F941" s="6" t="s">
        <v>13</v>
      </c>
      <c r="G941" s="6" t="s">
        <v>16</v>
      </c>
      <c r="H941" s="11">
        <v>44693</v>
      </c>
      <c r="I941" s="6" t="s">
        <v>1234</v>
      </c>
      <c r="J941" s="6" t="s">
        <v>11</v>
      </c>
      <c r="K941" s="6" t="s">
        <v>156</v>
      </c>
      <c r="L941" s="6" t="s">
        <v>71</v>
      </c>
    </row>
    <row r="942" spans="1:12">
      <c r="A942" s="5" t="s">
        <v>1611</v>
      </c>
      <c r="B942" s="20">
        <v>2553</v>
      </c>
      <c r="C942" s="9">
        <v>907</v>
      </c>
      <c r="D942" s="9">
        <v>6</v>
      </c>
      <c r="E942" s="9" t="s">
        <v>6</v>
      </c>
      <c r="F942" s="6" t="s">
        <v>17</v>
      </c>
      <c r="G942" s="6" t="s">
        <v>12</v>
      </c>
      <c r="H942" s="9" t="s">
        <v>1612</v>
      </c>
      <c r="I942" s="6" t="s">
        <v>1613</v>
      </c>
      <c r="J942" s="6" t="s">
        <v>25</v>
      </c>
      <c r="K942" s="6" t="s">
        <v>129</v>
      </c>
      <c r="L942" s="6" t="s">
        <v>77</v>
      </c>
    </row>
    <row r="943" spans="1:12">
      <c r="A943" s="5" t="s">
        <v>1614</v>
      </c>
      <c r="B943" s="20">
        <v>2542</v>
      </c>
      <c r="C943" s="9">
        <v>190</v>
      </c>
      <c r="D943" s="9">
        <v>1</v>
      </c>
      <c r="E943" s="9" t="s">
        <v>14</v>
      </c>
      <c r="F943" s="6" t="s">
        <v>40</v>
      </c>
      <c r="G943" s="6" t="s">
        <v>12</v>
      </c>
      <c r="H943" s="9" t="s">
        <v>1615</v>
      </c>
      <c r="I943" s="6" t="s">
        <v>1616</v>
      </c>
      <c r="J943" s="6" t="s">
        <v>25</v>
      </c>
      <c r="K943" s="6" t="s">
        <v>253</v>
      </c>
      <c r="L943" s="6" t="s">
        <v>63</v>
      </c>
    </row>
    <row r="944" spans="1:12">
      <c r="A944" s="3" t="s">
        <v>1617</v>
      </c>
      <c r="B944" s="19">
        <v>2539</v>
      </c>
      <c r="C944" s="8">
        <v>324</v>
      </c>
      <c r="D944" s="8">
        <v>5</v>
      </c>
      <c r="E944" s="8" t="s">
        <v>6</v>
      </c>
      <c r="F944" s="4" t="s">
        <v>13</v>
      </c>
      <c r="G944" s="4" t="s">
        <v>23</v>
      </c>
      <c r="H944" s="8" t="s">
        <v>1618</v>
      </c>
      <c r="I944" s="4" t="s">
        <v>1619</v>
      </c>
      <c r="J944" s="4" t="s">
        <v>7</v>
      </c>
      <c r="K944" s="4" t="s">
        <v>124</v>
      </c>
      <c r="L944" s="4" t="s">
        <v>48</v>
      </c>
    </row>
    <row r="945" spans="1:12">
      <c r="A945" s="3" t="s">
        <v>1521</v>
      </c>
      <c r="B945" s="19">
        <v>2521</v>
      </c>
      <c r="C945" s="8">
        <v>906</v>
      </c>
      <c r="D945" s="8">
        <v>7</v>
      </c>
      <c r="E945" s="8" t="s">
        <v>6</v>
      </c>
      <c r="F945" s="4" t="s">
        <v>21</v>
      </c>
      <c r="G945" s="4" t="s">
        <v>8</v>
      </c>
      <c r="H945" s="8" t="s">
        <v>961</v>
      </c>
      <c r="I945" s="4" t="s">
        <v>1522</v>
      </c>
      <c r="J945" s="4" t="s">
        <v>19</v>
      </c>
      <c r="K945" s="4" t="s">
        <v>126</v>
      </c>
      <c r="L945" s="4" t="s">
        <v>60</v>
      </c>
    </row>
    <row r="946" spans="1:12">
      <c r="A946" s="3" t="s">
        <v>1620</v>
      </c>
      <c r="B946" s="19">
        <v>2516</v>
      </c>
      <c r="C946" s="8">
        <v>734</v>
      </c>
      <c r="D946" s="8">
        <v>19</v>
      </c>
      <c r="E946" s="8" t="s">
        <v>10</v>
      </c>
      <c r="F946" s="4" t="s">
        <v>30</v>
      </c>
      <c r="G946" s="4" t="s">
        <v>23</v>
      </c>
      <c r="H946" s="10">
        <v>45271</v>
      </c>
      <c r="I946" s="4" t="s">
        <v>1621</v>
      </c>
      <c r="J946" s="4" t="s">
        <v>19</v>
      </c>
      <c r="K946" s="4" t="s">
        <v>210</v>
      </c>
      <c r="L946" s="4" t="s">
        <v>82</v>
      </c>
    </row>
    <row r="947" spans="1:12">
      <c r="A947" s="3" t="s">
        <v>1622</v>
      </c>
      <c r="B947" s="19">
        <v>2514</v>
      </c>
      <c r="C947" s="8">
        <v>95</v>
      </c>
      <c r="D947" s="8">
        <v>8</v>
      </c>
      <c r="E947" s="8" t="s">
        <v>14</v>
      </c>
      <c r="F947" s="4" t="s">
        <v>44</v>
      </c>
      <c r="G947" s="4" t="s">
        <v>23</v>
      </c>
      <c r="H947" s="8" t="s">
        <v>1623</v>
      </c>
      <c r="I947" s="4" t="s">
        <v>1624</v>
      </c>
      <c r="J947" s="4" t="s">
        <v>19</v>
      </c>
      <c r="K947" s="4" t="s">
        <v>108</v>
      </c>
      <c r="L947" s="4" t="s">
        <v>78</v>
      </c>
    </row>
    <row r="948" spans="1:12">
      <c r="A948" s="5" t="s">
        <v>1010</v>
      </c>
      <c r="B948" s="20">
        <v>2504</v>
      </c>
      <c r="C948" s="9">
        <v>440</v>
      </c>
      <c r="D948" s="9">
        <v>18</v>
      </c>
      <c r="E948" s="9" t="s">
        <v>6</v>
      </c>
      <c r="F948" s="6" t="s">
        <v>24</v>
      </c>
      <c r="G948" s="6" t="s">
        <v>23</v>
      </c>
      <c r="H948" s="9" t="s">
        <v>1011</v>
      </c>
      <c r="I948" s="6" t="s">
        <v>1012</v>
      </c>
      <c r="J948" s="6" t="s">
        <v>7</v>
      </c>
      <c r="K948" s="6" t="s">
        <v>205</v>
      </c>
      <c r="L948" s="6" t="s">
        <v>43</v>
      </c>
    </row>
    <row r="949" spans="1:12">
      <c r="A949" s="3" t="s">
        <v>187</v>
      </c>
      <c r="B949" s="19">
        <v>2493</v>
      </c>
      <c r="C949" s="8">
        <v>1221</v>
      </c>
      <c r="D949" s="8">
        <v>9</v>
      </c>
      <c r="E949" s="8" t="s">
        <v>14</v>
      </c>
      <c r="F949" s="4" t="s">
        <v>42</v>
      </c>
      <c r="G949" s="4" t="s">
        <v>12</v>
      </c>
      <c r="H949" s="8" t="s">
        <v>188</v>
      </c>
      <c r="I949" s="4" t="s">
        <v>189</v>
      </c>
      <c r="J949" s="4" t="s">
        <v>15</v>
      </c>
      <c r="K949" s="4" t="s">
        <v>171</v>
      </c>
      <c r="L949" s="4" t="s">
        <v>87</v>
      </c>
    </row>
    <row r="950" spans="1:12">
      <c r="A950" s="5" t="s">
        <v>239</v>
      </c>
      <c r="B950" s="20">
        <v>2483</v>
      </c>
      <c r="C950" s="9">
        <v>236</v>
      </c>
      <c r="D950" s="9">
        <v>2</v>
      </c>
      <c r="E950" s="9" t="s">
        <v>6</v>
      </c>
      <c r="F950" s="6" t="s">
        <v>13</v>
      </c>
      <c r="G950" s="6" t="s">
        <v>8</v>
      </c>
      <c r="H950" s="11">
        <v>45329</v>
      </c>
      <c r="I950" s="6" t="s">
        <v>240</v>
      </c>
      <c r="J950" s="6" t="s">
        <v>11</v>
      </c>
      <c r="K950" s="6" t="s">
        <v>136</v>
      </c>
      <c r="L950" s="6" t="s">
        <v>90</v>
      </c>
    </row>
    <row r="951" spans="1:12">
      <c r="A951" s="3" t="s">
        <v>1625</v>
      </c>
      <c r="B951" s="19">
        <v>2478</v>
      </c>
      <c r="C951" s="8">
        <v>92</v>
      </c>
      <c r="D951" s="8">
        <v>12</v>
      </c>
      <c r="E951" s="8" t="s">
        <v>10</v>
      </c>
      <c r="F951" s="4" t="s">
        <v>28</v>
      </c>
      <c r="G951" s="4" t="s">
        <v>8</v>
      </c>
      <c r="H951" s="10">
        <v>45143</v>
      </c>
      <c r="I951" s="4" t="s">
        <v>1626</v>
      </c>
      <c r="J951" s="4" t="s">
        <v>7</v>
      </c>
      <c r="K951" s="4" t="s">
        <v>124</v>
      </c>
      <c r="L951" s="4" t="s">
        <v>76</v>
      </c>
    </row>
    <row r="952" spans="1:12">
      <c r="A952" s="5" t="s">
        <v>1625</v>
      </c>
      <c r="B952" s="20">
        <v>2478</v>
      </c>
      <c r="C952" s="9">
        <v>92</v>
      </c>
      <c r="D952" s="9">
        <v>12</v>
      </c>
      <c r="E952" s="9" t="s">
        <v>10</v>
      </c>
      <c r="F952" s="6" t="s">
        <v>28</v>
      </c>
      <c r="G952" s="6" t="s">
        <v>8</v>
      </c>
      <c r="H952" s="11">
        <v>44258</v>
      </c>
      <c r="I952" s="6" t="s">
        <v>1627</v>
      </c>
      <c r="J952" s="6" t="s">
        <v>19</v>
      </c>
      <c r="K952" s="6" t="s">
        <v>210</v>
      </c>
      <c r="L952" s="6" t="s">
        <v>50</v>
      </c>
    </row>
    <row r="953" spans="1:12">
      <c r="A953" s="3" t="s">
        <v>1625</v>
      </c>
      <c r="B953" s="19">
        <v>2478</v>
      </c>
      <c r="C953" s="8">
        <v>92</v>
      </c>
      <c r="D953" s="8">
        <v>12</v>
      </c>
      <c r="E953" s="8" t="s">
        <v>10</v>
      </c>
      <c r="F953" s="4" t="s">
        <v>28</v>
      </c>
      <c r="G953" s="4" t="s">
        <v>8</v>
      </c>
      <c r="H953" s="8" t="s">
        <v>1628</v>
      </c>
      <c r="I953" s="4" t="s">
        <v>1629</v>
      </c>
      <c r="J953" s="4" t="s">
        <v>7</v>
      </c>
      <c r="K953" s="4" t="s">
        <v>124</v>
      </c>
      <c r="L953" s="4" t="s">
        <v>50</v>
      </c>
    </row>
    <row r="954" spans="1:12">
      <c r="A954" s="5" t="s">
        <v>1625</v>
      </c>
      <c r="B954" s="20">
        <v>2478</v>
      </c>
      <c r="C954" s="9">
        <v>92</v>
      </c>
      <c r="D954" s="9">
        <v>12</v>
      </c>
      <c r="E954" s="9" t="s">
        <v>10</v>
      </c>
      <c r="F954" s="6" t="s">
        <v>28</v>
      </c>
      <c r="G954" s="6" t="s">
        <v>8</v>
      </c>
      <c r="H954" s="9" t="s">
        <v>1630</v>
      </c>
      <c r="I954" s="6" t="s">
        <v>1631</v>
      </c>
      <c r="J954" s="6" t="s">
        <v>22</v>
      </c>
      <c r="K954" s="6" t="s">
        <v>117</v>
      </c>
      <c r="L954" s="6" t="s">
        <v>75</v>
      </c>
    </row>
    <row r="955" spans="1:12">
      <c r="A955" s="3" t="s">
        <v>1632</v>
      </c>
      <c r="B955" s="19">
        <v>2472</v>
      </c>
      <c r="C955" s="8">
        <v>211</v>
      </c>
      <c r="D955" s="8">
        <v>5</v>
      </c>
      <c r="E955" s="8" t="s">
        <v>6</v>
      </c>
      <c r="F955" s="4" t="s">
        <v>24</v>
      </c>
      <c r="G955" s="4" t="s">
        <v>8</v>
      </c>
      <c r="H955" s="8" t="s">
        <v>388</v>
      </c>
      <c r="I955" s="4" t="s">
        <v>1633</v>
      </c>
      <c r="J955" s="4" t="s">
        <v>7</v>
      </c>
      <c r="K955" s="4" t="s">
        <v>162</v>
      </c>
      <c r="L955" s="4" t="s">
        <v>35</v>
      </c>
    </row>
    <row r="956" spans="1:12">
      <c r="A956" s="5" t="s">
        <v>379</v>
      </c>
      <c r="B956" s="20">
        <v>2468</v>
      </c>
      <c r="C956" s="9">
        <v>418</v>
      </c>
      <c r="D956" s="9">
        <v>4</v>
      </c>
      <c r="E956" s="9" t="s">
        <v>6</v>
      </c>
      <c r="F956" s="6" t="s">
        <v>17</v>
      </c>
      <c r="G956" s="6" t="s">
        <v>12</v>
      </c>
      <c r="H956" s="9" t="s">
        <v>380</v>
      </c>
      <c r="I956" s="6" t="s">
        <v>381</v>
      </c>
      <c r="J956" s="6" t="s">
        <v>25</v>
      </c>
      <c r="K956" s="6" t="s">
        <v>129</v>
      </c>
      <c r="L956" s="6" t="s">
        <v>85</v>
      </c>
    </row>
    <row r="957" spans="1:12">
      <c r="A957" s="5" t="s">
        <v>1634</v>
      </c>
      <c r="B957" s="20">
        <v>2465</v>
      </c>
      <c r="C957" s="9">
        <v>699</v>
      </c>
      <c r="D957" s="9">
        <v>18</v>
      </c>
      <c r="E957" s="9" t="s">
        <v>14</v>
      </c>
      <c r="F957" s="6" t="s">
        <v>40</v>
      </c>
      <c r="G957" s="6" t="s">
        <v>16</v>
      </c>
      <c r="H957" s="9" t="s">
        <v>1635</v>
      </c>
      <c r="I957" s="6" t="s">
        <v>1636</v>
      </c>
      <c r="J957" s="6" t="s">
        <v>7</v>
      </c>
      <c r="K957" s="6" t="s">
        <v>124</v>
      </c>
      <c r="L957" s="6" t="s">
        <v>33</v>
      </c>
    </row>
    <row r="958" spans="1:12">
      <c r="A958" s="3" t="s">
        <v>1637</v>
      </c>
      <c r="B958" s="19">
        <v>2463</v>
      </c>
      <c r="C958" s="8">
        <v>648</v>
      </c>
      <c r="D958" s="8">
        <v>18</v>
      </c>
      <c r="E958" s="8" t="s">
        <v>10</v>
      </c>
      <c r="F958" s="4" t="s">
        <v>34</v>
      </c>
      <c r="G958" s="4" t="s">
        <v>20</v>
      </c>
      <c r="H958" s="8" t="s">
        <v>1638</v>
      </c>
      <c r="I958" s="4" t="s">
        <v>1639</v>
      </c>
      <c r="J958" s="4" t="s">
        <v>22</v>
      </c>
      <c r="K958" s="4" t="s">
        <v>223</v>
      </c>
      <c r="L958" s="4" t="s">
        <v>68</v>
      </c>
    </row>
    <row r="959" spans="1:12">
      <c r="A959" s="5" t="s">
        <v>1640</v>
      </c>
      <c r="B959" s="20">
        <v>2451</v>
      </c>
      <c r="C959" s="9">
        <v>342</v>
      </c>
      <c r="D959" s="9">
        <v>8</v>
      </c>
      <c r="E959" s="9" t="s">
        <v>14</v>
      </c>
      <c r="F959" s="6" t="s">
        <v>42</v>
      </c>
      <c r="G959" s="6" t="s">
        <v>20</v>
      </c>
      <c r="H959" s="11">
        <v>44356</v>
      </c>
      <c r="I959" s="6" t="s">
        <v>1641</v>
      </c>
      <c r="J959" s="6" t="s">
        <v>7</v>
      </c>
      <c r="K959" s="6" t="s">
        <v>205</v>
      </c>
      <c r="L959" s="6" t="s">
        <v>56</v>
      </c>
    </row>
    <row r="960" spans="1:12">
      <c r="A960" s="3" t="s">
        <v>1640</v>
      </c>
      <c r="B960" s="19">
        <v>2451</v>
      </c>
      <c r="C960" s="8">
        <v>342</v>
      </c>
      <c r="D960" s="8">
        <v>8</v>
      </c>
      <c r="E960" s="8" t="s">
        <v>14</v>
      </c>
      <c r="F960" s="4" t="s">
        <v>42</v>
      </c>
      <c r="G960" s="4" t="s">
        <v>20</v>
      </c>
      <c r="H960" s="10">
        <v>44541</v>
      </c>
      <c r="I960" s="4" t="s">
        <v>1642</v>
      </c>
      <c r="J960" s="4" t="s">
        <v>22</v>
      </c>
      <c r="K960" s="4" t="s">
        <v>223</v>
      </c>
      <c r="L960" s="4" t="s">
        <v>58</v>
      </c>
    </row>
    <row r="961" spans="1:12">
      <c r="A961" s="5" t="s">
        <v>1640</v>
      </c>
      <c r="B961" s="20">
        <v>2451</v>
      </c>
      <c r="C961" s="9">
        <v>342</v>
      </c>
      <c r="D961" s="9">
        <v>8</v>
      </c>
      <c r="E961" s="9" t="s">
        <v>14</v>
      </c>
      <c r="F961" s="6" t="s">
        <v>42</v>
      </c>
      <c r="G961" s="6" t="s">
        <v>20</v>
      </c>
      <c r="H961" s="9" t="s">
        <v>1643</v>
      </c>
      <c r="I961" s="6" t="s">
        <v>1644</v>
      </c>
      <c r="J961" s="6" t="s">
        <v>25</v>
      </c>
      <c r="K961" s="6" t="s">
        <v>253</v>
      </c>
      <c r="L961" s="6" t="s">
        <v>90</v>
      </c>
    </row>
    <row r="962" spans="1:12">
      <c r="A962" s="5" t="s">
        <v>1645</v>
      </c>
      <c r="B962" s="20">
        <v>2450</v>
      </c>
      <c r="C962" s="9">
        <v>1002</v>
      </c>
      <c r="D962" s="9">
        <v>4</v>
      </c>
      <c r="E962" s="9" t="s">
        <v>6</v>
      </c>
      <c r="F962" s="6" t="s">
        <v>21</v>
      </c>
      <c r="G962" s="6" t="s">
        <v>16</v>
      </c>
      <c r="H962" s="9" t="s">
        <v>1646</v>
      </c>
      <c r="I962" s="6" t="s">
        <v>1647</v>
      </c>
      <c r="J962" s="6" t="s">
        <v>7</v>
      </c>
      <c r="K962" s="6" t="s">
        <v>205</v>
      </c>
      <c r="L962" s="6" t="s">
        <v>77</v>
      </c>
    </row>
    <row r="963" spans="1:12">
      <c r="A963" s="3" t="s">
        <v>1645</v>
      </c>
      <c r="B963" s="19">
        <v>2450</v>
      </c>
      <c r="C963" s="8">
        <v>1002</v>
      </c>
      <c r="D963" s="8">
        <v>4</v>
      </c>
      <c r="E963" s="8" t="s">
        <v>6</v>
      </c>
      <c r="F963" s="4" t="s">
        <v>21</v>
      </c>
      <c r="G963" s="4" t="s">
        <v>16</v>
      </c>
      <c r="H963" s="8" t="s">
        <v>1648</v>
      </c>
      <c r="I963" s="4" t="s">
        <v>1649</v>
      </c>
      <c r="J963" s="4" t="s">
        <v>15</v>
      </c>
      <c r="K963" s="4" t="s">
        <v>132</v>
      </c>
      <c r="L963" s="4" t="s">
        <v>80</v>
      </c>
    </row>
    <row r="964" spans="1:12">
      <c r="A964" s="3" t="s">
        <v>1650</v>
      </c>
      <c r="B964" s="19">
        <v>2404</v>
      </c>
      <c r="C964" s="8">
        <v>253</v>
      </c>
      <c r="D964" s="8">
        <v>15</v>
      </c>
      <c r="E964" s="8" t="s">
        <v>6</v>
      </c>
      <c r="F964" s="4" t="s">
        <v>17</v>
      </c>
      <c r="G964" s="4" t="s">
        <v>8</v>
      </c>
      <c r="H964" s="8" t="s">
        <v>1517</v>
      </c>
      <c r="I964" s="4" t="s">
        <v>1651</v>
      </c>
      <c r="J964" s="4" t="s">
        <v>25</v>
      </c>
      <c r="K964" s="4" t="s">
        <v>111</v>
      </c>
      <c r="L964" s="4" t="s">
        <v>59</v>
      </c>
    </row>
    <row r="965" spans="1:12">
      <c r="A965" s="5" t="s">
        <v>1652</v>
      </c>
      <c r="B965" s="20">
        <v>2401</v>
      </c>
      <c r="C965" s="9">
        <v>1163</v>
      </c>
      <c r="D965" s="9">
        <v>10</v>
      </c>
      <c r="E965" s="9" t="s">
        <v>10</v>
      </c>
      <c r="F965" s="6" t="s">
        <v>28</v>
      </c>
      <c r="G965" s="6" t="s">
        <v>23</v>
      </c>
      <c r="H965" s="11">
        <v>45021</v>
      </c>
      <c r="I965" s="6" t="s">
        <v>1653</v>
      </c>
      <c r="J965" s="6" t="s">
        <v>22</v>
      </c>
      <c r="K965" s="6" t="s">
        <v>117</v>
      </c>
      <c r="L965" s="6" t="s">
        <v>76</v>
      </c>
    </row>
    <row r="966" spans="1:12">
      <c r="A966" s="3" t="s">
        <v>1652</v>
      </c>
      <c r="B966" s="19">
        <v>2401</v>
      </c>
      <c r="C966" s="8">
        <v>1163</v>
      </c>
      <c r="D966" s="8">
        <v>10</v>
      </c>
      <c r="E966" s="8" t="s">
        <v>10</v>
      </c>
      <c r="F966" s="4" t="s">
        <v>28</v>
      </c>
      <c r="G966" s="4" t="s">
        <v>23</v>
      </c>
      <c r="H966" s="8" t="s">
        <v>1654</v>
      </c>
      <c r="I966" s="4" t="s">
        <v>1655</v>
      </c>
      <c r="J966" s="4" t="s">
        <v>7</v>
      </c>
      <c r="K966" s="4" t="s">
        <v>205</v>
      </c>
      <c r="L966" s="4" t="s">
        <v>31</v>
      </c>
    </row>
    <row r="967" spans="1:12">
      <c r="A967" s="5" t="s">
        <v>1652</v>
      </c>
      <c r="B967" s="20">
        <v>2401</v>
      </c>
      <c r="C967" s="9">
        <v>1163</v>
      </c>
      <c r="D967" s="9">
        <v>10</v>
      </c>
      <c r="E967" s="9" t="s">
        <v>10</v>
      </c>
      <c r="F967" s="6" t="s">
        <v>28</v>
      </c>
      <c r="G967" s="6" t="s">
        <v>23</v>
      </c>
      <c r="H967" s="9" t="s">
        <v>1656</v>
      </c>
      <c r="I967" s="6" t="s">
        <v>1657</v>
      </c>
      <c r="J967" s="6" t="s">
        <v>19</v>
      </c>
      <c r="K967" s="6" t="s">
        <v>108</v>
      </c>
      <c r="L967" s="6" t="s">
        <v>55</v>
      </c>
    </row>
    <row r="968" spans="1:12">
      <c r="A968" s="3" t="s">
        <v>1658</v>
      </c>
      <c r="B968" s="19">
        <v>2386</v>
      </c>
      <c r="C968" s="8">
        <v>999</v>
      </c>
      <c r="D968" s="8">
        <v>3</v>
      </c>
      <c r="E968" s="8" t="s">
        <v>14</v>
      </c>
      <c r="F968" s="4" t="s">
        <v>44</v>
      </c>
      <c r="G968" s="4" t="s">
        <v>8</v>
      </c>
      <c r="H968" s="8" t="s">
        <v>1659</v>
      </c>
      <c r="I968" s="4" t="s">
        <v>1660</v>
      </c>
      <c r="J968" s="4" t="s">
        <v>11</v>
      </c>
      <c r="K968" s="4" t="s">
        <v>156</v>
      </c>
      <c r="L968" s="4" t="s">
        <v>85</v>
      </c>
    </row>
    <row r="969" spans="1:12">
      <c r="A969" s="5" t="s">
        <v>577</v>
      </c>
      <c r="B969" s="20">
        <v>2379</v>
      </c>
      <c r="C969" s="9">
        <v>279</v>
      </c>
      <c r="D969" s="9">
        <v>7</v>
      </c>
      <c r="E969" s="9" t="s">
        <v>10</v>
      </c>
      <c r="F969" s="6" t="s">
        <v>30</v>
      </c>
      <c r="G969" s="6" t="s">
        <v>16</v>
      </c>
      <c r="H969" s="9" t="s">
        <v>578</v>
      </c>
      <c r="I969" s="6" t="s">
        <v>579</v>
      </c>
      <c r="J969" s="6" t="s">
        <v>11</v>
      </c>
      <c r="K969" s="6" t="s">
        <v>156</v>
      </c>
      <c r="L969" s="6" t="s">
        <v>60</v>
      </c>
    </row>
    <row r="970" spans="1:12">
      <c r="A970" s="5" t="s">
        <v>577</v>
      </c>
      <c r="B970" s="20">
        <v>2349</v>
      </c>
      <c r="C970" s="9">
        <v>319</v>
      </c>
      <c r="D970" s="9">
        <v>4</v>
      </c>
      <c r="E970" s="9" t="s">
        <v>14</v>
      </c>
      <c r="F970" s="6" t="s">
        <v>44</v>
      </c>
      <c r="G970" s="6" t="s">
        <v>23</v>
      </c>
      <c r="H970" s="9" t="s">
        <v>578</v>
      </c>
      <c r="I970" s="6" t="s">
        <v>579</v>
      </c>
      <c r="J970" s="6" t="s">
        <v>11</v>
      </c>
      <c r="K970" s="6" t="s">
        <v>156</v>
      </c>
      <c r="L970" s="6" t="s">
        <v>60</v>
      </c>
    </row>
    <row r="971" spans="1:12">
      <c r="A971" s="5" t="s">
        <v>678</v>
      </c>
      <c r="B971" s="20">
        <v>2346</v>
      </c>
      <c r="C971" s="9">
        <v>388</v>
      </c>
      <c r="D971" s="9">
        <v>14</v>
      </c>
      <c r="E971" s="9" t="s">
        <v>10</v>
      </c>
      <c r="F971" s="6" t="s">
        <v>30</v>
      </c>
      <c r="G971" s="6" t="s">
        <v>16</v>
      </c>
      <c r="H971" s="11">
        <v>44532</v>
      </c>
      <c r="I971" s="6" t="s">
        <v>679</v>
      </c>
      <c r="J971" s="6" t="s">
        <v>15</v>
      </c>
      <c r="K971" s="6" t="s">
        <v>235</v>
      </c>
      <c r="L971" s="6" t="s">
        <v>49</v>
      </c>
    </row>
    <row r="972" spans="1:12">
      <c r="A972" s="3" t="s">
        <v>678</v>
      </c>
      <c r="B972" s="19">
        <v>2346</v>
      </c>
      <c r="C972" s="8">
        <v>388</v>
      </c>
      <c r="D972" s="8">
        <v>14</v>
      </c>
      <c r="E972" s="8" t="s">
        <v>10</v>
      </c>
      <c r="F972" s="4" t="s">
        <v>30</v>
      </c>
      <c r="G972" s="4" t="s">
        <v>16</v>
      </c>
      <c r="H972" s="8" t="s">
        <v>680</v>
      </c>
      <c r="I972" s="4" t="s">
        <v>681</v>
      </c>
      <c r="J972" s="4" t="s">
        <v>19</v>
      </c>
      <c r="K972" s="4" t="s">
        <v>108</v>
      </c>
      <c r="L972" s="4" t="s">
        <v>71</v>
      </c>
    </row>
    <row r="973" spans="1:12">
      <c r="A973" s="5" t="s">
        <v>678</v>
      </c>
      <c r="B973" s="20">
        <v>2346</v>
      </c>
      <c r="C973" s="9">
        <v>388</v>
      </c>
      <c r="D973" s="9">
        <v>14</v>
      </c>
      <c r="E973" s="9" t="s">
        <v>10</v>
      </c>
      <c r="F973" s="6" t="s">
        <v>30</v>
      </c>
      <c r="G973" s="6" t="s">
        <v>16</v>
      </c>
      <c r="H973" s="9" t="s">
        <v>682</v>
      </c>
      <c r="I973" s="6" t="s">
        <v>683</v>
      </c>
      <c r="J973" s="6" t="s">
        <v>7</v>
      </c>
      <c r="K973" s="6" t="s">
        <v>162</v>
      </c>
      <c r="L973" s="6" t="s">
        <v>84</v>
      </c>
    </row>
    <row r="974" spans="1:12">
      <c r="A974" s="3" t="s">
        <v>748</v>
      </c>
      <c r="B974" s="19">
        <v>2334</v>
      </c>
      <c r="C974" s="8">
        <v>484</v>
      </c>
      <c r="D974" s="8">
        <v>3</v>
      </c>
      <c r="E974" s="8" t="s">
        <v>10</v>
      </c>
      <c r="F974" s="4" t="s">
        <v>32</v>
      </c>
      <c r="G974" s="4" t="s">
        <v>12</v>
      </c>
      <c r="H974" s="8" t="s">
        <v>749</v>
      </c>
      <c r="I974" s="4" t="s">
        <v>750</v>
      </c>
      <c r="J974" s="4" t="s">
        <v>7</v>
      </c>
      <c r="K974" s="4" t="s">
        <v>162</v>
      </c>
      <c r="L974" s="4" t="s">
        <v>78</v>
      </c>
    </row>
    <row r="975" spans="1:12">
      <c r="A975" s="3" t="s">
        <v>1276</v>
      </c>
      <c r="B975" s="19">
        <v>2328</v>
      </c>
      <c r="C975" s="8">
        <v>788</v>
      </c>
      <c r="D975" s="8">
        <v>4</v>
      </c>
      <c r="E975" s="8" t="s">
        <v>14</v>
      </c>
      <c r="F975" s="4" t="s">
        <v>42</v>
      </c>
      <c r="G975" s="4" t="s">
        <v>23</v>
      </c>
      <c r="H975" s="8" t="s">
        <v>1277</v>
      </c>
      <c r="I975" s="4" t="s">
        <v>1278</v>
      </c>
      <c r="J975" s="4" t="s">
        <v>11</v>
      </c>
      <c r="K975" s="4" t="s">
        <v>120</v>
      </c>
      <c r="L975" s="4" t="s">
        <v>78</v>
      </c>
    </row>
    <row r="976" spans="1:12">
      <c r="A976" s="5" t="s">
        <v>1661</v>
      </c>
      <c r="B976" s="20">
        <v>2323</v>
      </c>
      <c r="C976" s="9">
        <v>727</v>
      </c>
      <c r="D976" s="9">
        <v>7</v>
      </c>
      <c r="E976" s="9" t="s">
        <v>10</v>
      </c>
      <c r="F976" s="6" t="s">
        <v>34</v>
      </c>
      <c r="G976" s="6" t="s">
        <v>8</v>
      </c>
      <c r="H976" s="9" t="s">
        <v>1662</v>
      </c>
      <c r="I976" s="6" t="s">
        <v>1663</v>
      </c>
      <c r="J976" s="6" t="s">
        <v>25</v>
      </c>
      <c r="K976" s="6" t="s">
        <v>129</v>
      </c>
      <c r="L976" s="6" t="s">
        <v>61</v>
      </c>
    </row>
    <row r="977" spans="1:12">
      <c r="A977" s="5" t="s">
        <v>1664</v>
      </c>
      <c r="B977" s="20">
        <v>2321</v>
      </c>
      <c r="C977" s="9">
        <v>505</v>
      </c>
      <c r="D977" s="9">
        <v>6</v>
      </c>
      <c r="E977" s="9" t="s">
        <v>10</v>
      </c>
      <c r="F977" s="6" t="s">
        <v>30</v>
      </c>
      <c r="G977" s="6" t="s">
        <v>20</v>
      </c>
      <c r="H977" s="11">
        <v>44661</v>
      </c>
      <c r="I977" s="6" t="s">
        <v>1665</v>
      </c>
      <c r="J977" s="6" t="s">
        <v>15</v>
      </c>
      <c r="K977" s="6" t="s">
        <v>171</v>
      </c>
      <c r="L977" s="6" t="s">
        <v>69</v>
      </c>
    </row>
    <row r="978" spans="1:12">
      <c r="A978" s="5" t="s">
        <v>1666</v>
      </c>
      <c r="B978" s="20">
        <v>2284</v>
      </c>
      <c r="C978" s="9">
        <v>149</v>
      </c>
      <c r="D978" s="9">
        <v>20</v>
      </c>
      <c r="E978" s="9" t="s">
        <v>14</v>
      </c>
      <c r="F978" s="6" t="s">
        <v>44</v>
      </c>
      <c r="G978" s="6" t="s">
        <v>16</v>
      </c>
      <c r="H978" s="11">
        <v>44355</v>
      </c>
      <c r="I978" s="6" t="s">
        <v>1667</v>
      </c>
      <c r="J978" s="6" t="s">
        <v>19</v>
      </c>
      <c r="K978" s="6" t="s">
        <v>108</v>
      </c>
      <c r="L978" s="6" t="s">
        <v>55</v>
      </c>
    </row>
    <row r="979" spans="1:12">
      <c r="A979" s="3" t="s">
        <v>1668</v>
      </c>
      <c r="B979" s="19">
        <v>2280</v>
      </c>
      <c r="C979" s="8">
        <v>509</v>
      </c>
      <c r="D979" s="8">
        <v>8</v>
      </c>
      <c r="E979" s="8" t="s">
        <v>6</v>
      </c>
      <c r="F979" s="4" t="s">
        <v>21</v>
      </c>
      <c r="G979" s="4" t="s">
        <v>12</v>
      </c>
      <c r="H979" s="10">
        <v>44256</v>
      </c>
      <c r="I979" s="4" t="s">
        <v>1669</v>
      </c>
      <c r="J979" s="4" t="s">
        <v>19</v>
      </c>
      <c r="K979" s="4" t="s">
        <v>126</v>
      </c>
      <c r="L979" s="4" t="s">
        <v>48</v>
      </c>
    </row>
    <row r="980" spans="1:12">
      <c r="A980" s="3" t="s">
        <v>1670</v>
      </c>
      <c r="B980" s="19">
        <v>2258</v>
      </c>
      <c r="C980" s="8">
        <v>135</v>
      </c>
      <c r="D980" s="8">
        <v>18</v>
      </c>
      <c r="E980" s="8" t="s">
        <v>6</v>
      </c>
      <c r="F980" s="4" t="s">
        <v>24</v>
      </c>
      <c r="G980" s="4" t="s">
        <v>12</v>
      </c>
      <c r="H980" s="10">
        <v>45475</v>
      </c>
      <c r="I980" s="4" t="s">
        <v>1671</v>
      </c>
      <c r="J980" s="4" t="s">
        <v>11</v>
      </c>
      <c r="K980" s="4" t="s">
        <v>156</v>
      </c>
      <c r="L980" s="4" t="s">
        <v>85</v>
      </c>
    </row>
    <row r="981" spans="1:12">
      <c r="A981" s="5" t="s">
        <v>1670</v>
      </c>
      <c r="B981" s="20">
        <v>2258</v>
      </c>
      <c r="C981" s="9">
        <v>135</v>
      </c>
      <c r="D981" s="9">
        <v>18</v>
      </c>
      <c r="E981" s="9" t="s">
        <v>6</v>
      </c>
      <c r="F981" s="6" t="s">
        <v>24</v>
      </c>
      <c r="G981" s="6" t="s">
        <v>12</v>
      </c>
      <c r="H981" s="9" t="s">
        <v>1672</v>
      </c>
      <c r="I981" s="6" t="s">
        <v>1673</v>
      </c>
      <c r="J981" s="6" t="s">
        <v>7</v>
      </c>
      <c r="K981" s="6" t="s">
        <v>162</v>
      </c>
      <c r="L981" s="6" t="s">
        <v>67</v>
      </c>
    </row>
    <row r="982" spans="1:12">
      <c r="A982" s="5" t="s">
        <v>1645</v>
      </c>
      <c r="B982" s="20">
        <v>2239</v>
      </c>
      <c r="C982" s="9">
        <v>828</v>
      </c>
      <c r="D982" s="9">
        <v>1</v>
      </c>
      <c r="E982" s="9" t="s">
        <v>6</v>
      </c>
      <c r="F982" s="6" t="s">
        <v>24</v>
      </c>
      <c r="G982" s="6" t="s">
        <v>23</v>
      </c>
      <c r="H982" s="9" t="s">
        <v>1646</v>
      </c>
      <c r="I982" s="6" t="s">
        <v>1647</v>
      </c>
      <c r="J982" s="6" t="s">
        <v>7</v>
      </c>
      <c r="K982" s="6" t="s">
        <v>205</v>
      </c>
      <c r="L982" s="6" t="s">
        <v>77</v>
      </c>
    </row>
    <row r="983" spans="1:12">
      <c r="A983" s="3" t="s">
        <v>1645</v>
      </c>
      <c r="B983" s="19">
        <v>2239</v>
      </c>
      <c r="C983" s="8">
        <v>828</v>
      </c>
      <c r="D983" s="8">
        <v>1</v>
      </c>
      <c r="E983" s="8" t="s">
        <v>6</v>
      </c>
      <c r="F983" s="4" t="s">
        <v>24</v>
      </c>
      <c r="G983" s="4" t="s">
        <v>23</v>
      </c>
      <c r="H983" s="8" t="s">
        <v>1648</v>
      </c>
      <c r="I983" s="4" t="s">
        <v>1649</v>
      </c>
      <c r="J983" s="4" t="s">
        <v>15</v>
      </c>
      <c r="K983" s="4" t="s">
        <v>132</v>
      </c>
      <c r="L983" s="4" t="s">
        <v>80</v>
      </c>
    </row>
    <row r="984" spans="1:12">
      <c r="A984" s="5" t="s">
        <v>1246</v>
      </c>
      <c r="B984" s="20">
        <v>2239</v>
      </c>
      <c r="C984" s="9">
        <v>1094</v>
      </c>
      <c r="D984" s="9">
        <v>18</v>
      </c>
      <c r="E984" s="9" t="s">
        <v>6</v>
      </c>
      <c r="F984" s="6" t="s">
        <v>24</v>
      </c>
      <c r="G984" s="6" t="s">
        <v>8</v>
      </c>
      <c r="H984" s="9" t="s">
        <v>1247</v>
      </c>
      <c r="I984" s="6" t="s">
        <v>1248</v>
      </c>
      <c r="J984" s="6" t="s">
        <v>11</v>
      </c>
      <c r="K984" s="6" t="s">
        <v>136</v>
      </c>
      <c r="L984" s="6" t="s">
        <v>90</v>
      </c>
    </row>
    <row r="985" spans="1:12">
      <c r="A985" s="3" t="s">
        <v>298</v>
      </c>
      <c r="B985" s="19">
        <v>2225</v>
      </c>
      <c r="C985" s="8">
        <v>589</v>
      </c>
      <c r="D985" s="8">
        <v>7</v>
      </c>
      <c r="E985" s="8" t="s">
        <v>10</v>
      </c>
      <c r="F985" s="4" t="s">
        <v>32</v>
      </c>
      <c r="G985" s="4" t="s">
        <v>12</v>
      </c>
      <c r="H985" s="10">
        <v>43865</v>
      </c>
      <c r="I985" s="4" t="s">
        <v>299</v>
      </c>
      <c r="J985" s="4" t="s">
        <v>11</v>
      </c>
      <c r="K985" s="4" t="s">
        <v>120</v>
      </c>
      <c r="L985" s="4" t="s">
        <v>31</v>
      </c>
    </row>
    <row r="986" spans="1:12">
      <c r="A986" s="3" t="s">
        <v>526</v>
      </c>
      <c r="B986" s="19">
        <v>2174</v>
      </c>
      <c r="C986" s="8">
        <v>265</v>
      </c>
      <c r="D986" s="8">
        <v>19</v>
      </c>
      <c r="E986" s="8" t="s">
        <v>14</v>
      </c>
      <c r="F986" s="4" t="s">
        <v>44</v>
      </c>
      <c r="G986" s="4" t="s">
        <v>12</v>
      </c>
      <c r="H986" s="10">
        <v>44869</v>
      </c>
      <c r="I986" s="4" t="s">
        <v>527</v>
      </c>
      <c r="J986" s="4" t="s">
        <v>22</v>
      </c>
      <c r="K986" s="4" t="s">
        <v>223</v>
      </c>
      <c r="L986" s="4" t="s">
        <v>63</v>
      </c>
    </row>
    <row r="987" spans="1:12">
      <c r="A987" s="3" t="s">
        <v>1593</v>
      </c>
      <c r="B987" s="19">
        <v>2140</v>
      </c>
      <c r="C987" s="8">
        <v>970</v>
      </c>
      <c r="D987" s="8">
        <v>4</v>
      </c>
      <c r="E987" s="8" t="s">
        <v>14</v>
      </c>
      <c r="F987" s="4" t="s">
        <v>42</v>
      </c>
      <c r="G987" s="4" t="s">
        <v>12</v>
      </c>
      <c r="H987" s="8" t="s">
        <v>484</v>
      </c>
      <c r="I987" s="4" t="s">
        <v>1594</v>
      </c>
      <c r="J987" s="4" t="s">
        <v>7</v>
      </c>
      <c r="K987" s="4" t="s">
        <v>162</v>
      </c>
      <c r="L987" s="4" t="s">
        <v>41</v>
      </c>
    </row>
    <row r="988" spans="1:12">
      <c r="A988" s="5" t="s">
        <v>1593</v>
      </c>
      <c r="B988" s="20">
        <v>2140</v>
      </c>
      <c r="C988" s="9">
        <v>970</v>
      </c>
      <c r="D988" s="9">
        <v>4</v>
      </c>
      <c r="E988" s="9" t="s">
        <v>14</v>
      </c>
      <c r="F988" s="6" t="s">
        <v>42</v>
      </c>
      <c r="G988" s="6" t="s">
        <v>12</v>
      </c>
      <c r="H988" s="9" t="s">
        <v>1595</v>
      </c>
      <c r="I988" s="6" t="s">
        <v>1596</v>
      </c>
      <c r="J988" s="6" t="s">
        <v>11</v>
      </c>
      <c r="K988" s="6" t="s">
        <v>120</v>
      </c>
      <c r="L988" s="6" t="s">
        <v>97</v>
      </c>
    </row>
    <row r="989" spans="1:12">
      <c r="A989" s="3" t="s">
        <v>1593</v>
      </c>
      <c r="B989" s="19">
        <v>2140</v>
      </c>
      <c r="C989" s="8">
        <v>970</v>
      </c>
      <c r="D989" s="8">
        <v>4</v>
      </c>
      <c r="E989" s="8" t="s">
        <v>14</v>
      </c>
      <c r="F989" s="4" t="s">
        <v>42</v>
      </c>
      <c r="G989" s="4" t="s">
        <v>12</v>
      </c>
      <c r="H989" s="8" t="s">
        <v>1509</v>
      </c>
      <c r="I989" s="4" t="s">
        <v>1597</v>
      </c>
      <c r="J989" s="4" t="s">
        <v>7</v>
      </c>
      <c r="K989" s="4" t="s">
        <v>124</v>
      </c>
      <c r="L989" s="4" t="s">
        <v>62</v>
      </c>
    </row>
    <row r="990" spans="1:12">
      <c r="A990" s="3" t="s">
        <v>1561</v>
      </c>
      <c r="B990" s="19">
        <v>2137</v>
      </c>
      <c r="C990" s="8">
        <v>638</v>
      </c>
      <c r="D990" s="8">
        <v>12</v>
      </c>
      <c r="E990" s="8" t="s">
        <v>10</v>
      </c>
      <c r="F990" s="4" t="s">
        <v>28</v>
      </c>
      <c r="G990" s="4" t="s">
        <v>16</v>
      </c>
      <c r="H990" s="10">
        <v>43871</v>
      </c>
      <c r="I990" s="4" t="s">
        <v>1562</v>
      </c>
      <c r="J990" s="4" t="s">
        <v>19</v>
      </c>
      <c r="K990" s="4" t="s">
        <v>210</v>
      </c>
      <c r="L990" s="4" t="s">
        <v>43</v>
      </c>
    </row>
    <row r="991" spans="1:12">
      <c r="A991" s="5" t="s">
        <v>1674</v>
      </c>
      <c r="B991" s="20">
        <v>2119</v>
      </c>
      <c r="C991" s="9">
        <v>196</v>
      </c>
      <c r="D991" s="9">
        <v>1</v>
      </c>
      <c r="E991" s="9" t="s">
        <v>10</v>
      </c>
      <c r="F991" s="6" t="s">
        <v>32</v>
      </c>
      <c r="G991" s="6" t="s">
        <v>8</v>
      </c>
      <c r="H991" s="9" t="s">
        <v>1675</v>
      </c>
      <c r="I991" s="6" t="s">
        <v>1676</v>
      </c>
      <c r="J991" s="6" t="s">
        <v>7</v>
      </c>
      <c r="K991" s="6" t="s">
        <v>205</v>
      </c>
      <c r="L991" s="6" t="s">
        <v>39</v>
      </c>
    </row>
    <row r="992" spans="1:12">
      <c r="A992" s="5" t="s">
        <v>987</v>
      </c>
      <c r="B992" s="20">
        <v>2109</v>
      </c>
      <c r="C992" s="9">
        <v>681</v>
      </c>
      <c r="D992" s="9">
        <v>20</v>
      </c>
      <c r="E992" s="9" t="s">
        <v>6</v>
      </c>
      <c r="F992" s="6" t="s">
        <v>13</v>
      </c>
      <c r="G992" s="6" t="s">
        <v>23</v>
      </c>
      <c r="H992" s="11">
        <v>44267</v>
      </c>
      <c r="I992" s="6" t="s">
        <v>988</v>
      </c>
      <c r="J992" s="6" t="s">
        <v>19</v>
      </c>
      <c r="K992" s="6" t="s">
        <v>108</v>
      </c>
      <c r="L992" s="6" t="s">
        <v>59</v>
      </c>
    </row>
    <row r="993" spans="1:12">
      <c r="A993" s="3" t="s">
        <v>1677</v>
      </c>
      <c r="B993" s="19">
        <v>2101</v>
      </c>
      <c r="C993" s="8">
        <v>287</v>
      </c>
      <c r="D993" s="8">
        <v>8</v>
      </c>
      <c r="E993" s="8" t="s">
        <v>14</v>
      </c>
      <c r="F993" s="4" t="s">
        <v>44</v>
      </c>
      <c r="G993" s="4" t="s">
        <v>8</v>
      </c>
      <c r="H993" s="10">
        <v>43928</v>
      </c>
      <c r="I993" s="4" t="s">
        <v>1190</v>
      </c>
      <c r="J993" s="4" t="s">
        <v>22</v>
      </c>
      <c r="K993" s="4" t="s">
        <v>117</v>
      </c>
      <c r="L993" s="4" t="s">
        <v>37</v>
      </c>
    </row>
    <row r="994" spans="1:12">
      <c r="A994" s="5" t="s">
        <v>1677</v>
      </c>
      <c r="B994" s="20">
        <v>2101</v>
      </c>
      <c r="C994" s="9">
        <v>287</v>
      </c>
      <c r="D994" s="9">
        <v>8</v>
      </c>
      <c r="E994" s="9" t="s">
        <v>14</v>
      </c>
      <c r="F994" s="6" t="s">
        <v>44</v>
      </c>
      <c r="G994" s="6" t="s">
        <v>8</v>
      </c>
      <c r="H994" s="11">
        <v>45173</v>
      </c>
      <c r="I994" s="6" t="s">
        <v>1678</v>
      </c>
      <c r="J994" s="6" t="s">
        <v>15</v>
      </c>
      <c r="K994" s="6" t="s">
        <v>132</v>
      </c>
      <c r="L994" s="6" t="s">
        <v>75</v>
      </c>
    </row>
    <row r="995" spans="1:12">
      <c r="A995" s="3" t="s">
        <v>1679</v>
      </c>
      <c r="B995" s="19">
        <v>2082</v>
      </c>
      <c r="C995" s="8">
        <v>642</v>
      </c>
      <c r="D995" s="8">
        <v>8</v>
      </c>
      <c r="E995" s="8" t="s">
        <v>6</v>
      </c>
      <c r="F995" s="4" t="s">
        <v>21</v>
      </c>
      <c r="G995" s="4" t="s">
        <v>20</v>
      </c>
      <c r="H995" s="10">
        <v>43867</v>
      </c>
      <c r="I995" s="4" t="s">
        <v>1680</v>
      </c>
      <c r="J995" s="4" t="s">
        <v>19</v>
      </c>
      <c r="K995" s="4" t="s">
        <v>108</v>
      </c>
      <c r="L995" s="4" t="s">
        <v>35</v>
      </c>
    </row>
    <row r="996" spans="1:12">
      <c r="A996" s="5" t="s">
        <v>1679</v>
      </c>
      <c r="B996" s="20">
        <v>2082</v>
      </c>
      <c r="C996" s="9">
        <v>642</v>
      </c>
      <c r="D996" s="9">
        <v>8</v>
      </c>
      <c r="E996" s="9" t="s">
        <v>6</v>
      </c>
      <c r="F996" s="6" t="s">
        <v>21</v>
      </c>
      <c r="G996" s="6" t="s">
        <v>20</v>
      </c>
      <c r="H996" s="9" t="s">
        <v>1681</v>
      </c>
      <c r="I996" s="6" t="s">
        <v>1682</v>
      </c>
      <c r="J996" s="6" t="s">
        <v>25</v>
      </c>
      <c r="K996" s="6" t="s">
        <v>111</v>
      </c>
      <c r="L996" s="6" t="s">
        <v>71</v>
      </c>
    </row>
    <row r="997" spans="1:12">
      <c r="A997" s="3" t="s">
        <v>1679</v>
      </c>
      <c r="B997" s="19">
        <v>2082</v>
      </c>
      <c r="C997" s="8">
        <v>642</v>
      </c>
      <c r="D997" s="8">
        <v>8</v>
      </c>
      <c r="E997" s="8" t="s">
        <v>6</v>
      </c>
      <c r="F997" s="4" t="s">
        <v>21</v>
      </c>
      <c r="G997" s="4" t="s">
        <v>20</v>
      </c>
      <c r="H997" s="10">
        <v>44020</v>
      </c>
      <c r="I997" s="4" t="s">
        <v>1683</v>
      </c>
      <c r="J997" s="4" t="s">
        <v>19</v>
      </c>
      <c r="K997" s="4" t="s">
        <v>126</v>
      </c>
      <c r="L997" s="4" t="s">
        <v>39</v>
      </c>
    </row>
    <row r="998" spans="1:12">
      <c r="A998" s="3" t="s">
        <v>1684</v>
      </c>
      <c r="B998" s="19">
        <v>2078</v>
      </c>
      <c r="C998" s="8">
        <v>612</v>
      </c>
      <c r="D998" s="8">
        <v>6</v>
      </c>
      <c r="E998" s="8" t="s">
        <v>6</v>
      </c>
      <c r="F998" s="4" t="s">
        <v>17</v>
      </c>
      <c r="G998" s="4" t="s">
        <v>8</v>
      </c>
      <c r="H998" s="8" t="s">
        <v>1685</v>
      </c>
      <c r="I998" s="4" t="s">
        <v>1686</v>
      </c>
      <c r="J998" s="4" t="s">
        <v>25</v>
      </c>
      <c r="K998" s="4" t="s">
        <v>111</v>
      </c>
      <c r="L998" s="4" t="s">
        <v>60</v>
      </c>
    </row>
    <row r="999" spans="1:12">
      <c r="A999" s="3" t="s">
        <v>1687</v>
      </c>
      <c r="B999" s="19">
        <v>2062</v>
      </c>
      <c r="C999" s="8">
        <v>848</v>
      </c>
      <c r="D999" s="8">
        <v>6</v>
      </c>
      <c r="E999" s="8" t="s">
        <v>14</v>
      </c>
      <c r="F999" s="4" t="s">
        <v>40</v>
      </c>
      <c r="G999" s="4" t="s">
        <v>12</v>
      </c>
      <c r="H999" s="10">
        <v>45385</v>
      </c>
      <c r="I999" s="4" t="s">
        <v>1688</v>
      </c>
      <c r="J999" s="4" t="s">
        <v>11</v>
      </c>
      <c r="K999" s="4" t="s">
        <v>136</v>
      </c>
      <c r="L999" s="4" t="s">
        <v>86</v>
      </c>
    </row>
    <row r="1000" spans="1:12">
      <c r="A1000" s="5" t="s">
        <v>780</v>
      </c>
      <c r="B1000" s="20">
        <v>2054</v>
      </c>
      <c r="C1000" s="9">
        <v>371</v>
      </c>
      <c r="D1000" s="9">
        <v>12</v>
      </c>
      <c r="E1000" s="9" t="s">
        <v>14</v>
      </c>
      <c r="F1000" s="6" t="s">
        <v>40</v>
      </c>
      <c r="G1000" s="6" t="s">
        <v>20</v>
      </c>
      <c r="H1000" s="9" t="s">
        <v>781</v>
      </c>
      <c r="I1000" s="6" t="s">
        <v>782</v>
      </c>
      <c r="J1000" s="6" t="s">
        <v>25</v>
      </c>
      <c r="K1000" s="6" t="s">
        <v>111</v>
      </c>
      <c r="L1000" s="6" t="s">
        <v>71</v>
      </c>
    </row>
    <row r="1001" spans="1:12">
      <c r="A1001" s="5" t="s">
        <v>1536</v>
      </c>
      <c r="B1001" s="20">
        <v>2047</v>
      </c>
      <c r="C1001" s="9">
        <v>914</v>
      </c>
      <c r="D1001" s="9">
        <v>5</v>
      </c>
      <c r="E1001" s="9" t="s">
        <v>14</v>
      </c>
      <c r="F1001" s="6" t="s">
        <v>40</v>
      </c>
      <c r="G1001" s="6" t="s">
        <v>16</v>
      </c>
      <c r="H1001" s="9" t="s">
        <v>632</v>
      </c>
      <c r="I1001" s="6" t="s">
        <v>1537</v>
      </c>
      <c r="J1001" s="6" t="s">
        <v>19</v>
      </c>
      <c r="K1001" s="6" t="s">
        <v>126</v>
      </c>
      <c r="L1001" s="6" t="s">
        <v>92</v>
      </c>
    </row>
    <row r="1002" spans="1:12">
      <c r="A1002" s="5" t="s">
        <v>873</v>
      </c>
      <c r="B1002" s="20">
        <v>2025</v>
      </c>
      <c r="C1002" s="9">
        <v>528</v>
      </c>
      <c r="D1002" s="9">
        <v>1</v>
      </c>
      <c r="E1002" s="9" t="s">
        <v>14</v>
      </c>
      <c r="F1002" s="6" t="s">
        <v>44</v>
      </c>
      <c r="G1002" s="6" t="s">
        <v>12</v>
      </c>
      <c r="H1002" s="9" t="s">
        <v>874</v>
      </c>
      <c r="I1002" s="6" t="s">
        <v>875</v>
      </c>
      <c r="J1002" s="6" t="s">
        <v>11</v>
      </c>
      <c r="K1002" s="6" t="s">
        <v>156</v>
      </c>
      <c r="L1002" s="6" t="s">
        <v>84</v>
      </c>
    </row>
    <row r="1003" spans="1:12">
      <c r="A1003" s="5" t="s">
        <v>1689</v>
      </c>
      <c r="B1003" s="20">
        <v>1992</v>
      </c>
      <c r="C1003" s="9">
        <v>355</v>
      </c>
      <c r="D1003" s="9">
        <v>2</v>
      </c>
      <c r="E1003" s="9" t="s">
        <v>6</v>
      </c>
      <c r="F1003" s="6" t="s">
        <v>21</v>
      </c>
      <c r="G1003" s="6" t="s">
        <v>8</v>
      </c>
      <c r="H1003" s="9" t="s">
        <v>1690</v>
      </c>
      <c r="I1003" s="6" t="s">
        <v>1691</v>
      </c>
      <c r="J1003" s="6" t="s">
        <v>11</v>
      </c>
      <c r="K1003" s="6" t="s">
        <v>136</v>
      </c>
      <c r="L1003" s="6" t="s">
        <v>95</v>
      </c>
    </row>
    <row r="1004" spans="1:12">
      <c r="A1004" s="3" t="s">
        <v>1692</v>
      </c>
      <c r="B1004" s="19">
        <v>1961</v>
      </c>
      <c r="C1004" s="8">
        <v>59</v>
      </c>
      <c r="D1004" s="8">
        <v>12</v>
      </c>
      <c r="E1004" s="8" t="s">
        <v>14</v>
      </c>
      <c r="F1004" s="4" t="s">
        <v>38</v>
      </c>
      <c r="G1004" s="4" t="s">
        <v>23</v>
      </c>
      <c r="H1004" s="10">
        <v>44082</v>
      </c>
      <c r="I1004" s="4" t="s">
        <v>1693</v>
      </c>
      <c r="J1004" s="4" t="s">
        <v>11</v>
      </c>
      <c r="K1004" s="4" t="s">
        <v>120</v>
      </c>
      <c r="L1004" s="4" t="s">
        <v>39</v>
      </c>
    </row>
    <row r="1005" spans="1:12">
      <c r="A1005" s="5" t="s">
        <v>1694</v>
      </c>
      <c r="B1005" s="20">
        <v>1954</v>
      </c>
      <c r="C1005" s="9">
        <v>294</v>
      </c>
      <c r="D1005" s="9">
        <v>7</v>
      </c>
      <c r="E1005" s="9" t="s">
        <v>10</v>
      </c>
      <c r="F1005" s="6" t="s">
        <v>32</v>
      </c>
      <c r="G1005" s="6" t="s">
        <v>16</v>
      </c>
      <c r="H1005" s="9" t="s">
        <v>597</v>
      </c>
      <c r="I1005" s="6" t="s">
        <v>1695</v>
      </c>
      <c r="J1005" s="6" t="s">
        <v>25</v>
      </c>
      <c r="K1005" s="6" t="s">
        <v>111</v>
      </c>
      <c r="L1005" s="6" t="s">
        <v>71</v>
      </c>
    </row>
    <row r="1006" spans="1:12">
      <c r="A1006" s="3" t="s">
        <v>526</v>
      </c>
      <c r="B1006" s="19">
        <v>1931</v>
      </c>
      <c r="C1006" s="8">
        <v>551</v>
      </c>
      <c r="D1006" s="8">
        <v>3</v>
      </c>
      <c r="E1006" s="8" t="s">
        <v>10</v>
      </c>
      <c r="F1006" s="4" t="s">
        <v>28</v>
      </c>
      <c r="G1006" s="4" t="s">
        <v>20</v>
      </c>
      <c r="H1006" s="10">
        <v>44869</v>
      </c>
      <c r="I1006" s="4" t="s">
        <v>527</v>
      </c>
      <c r="J1006" s="4" t="s">
        <v>22</v>
      </c>
      <c r="K1006" s="4" t="s">
        <v>223</v>
      </c>
      <c r="L1006" s="4" t="s">
        <v>63</v>
      </c>
    </row>
    <row r="1007" spans="1:12">
      <c r="A1007" s="5" t="s">
        <v>1179</v>
      </c>
      <c r="B1007" s="20">
        <v>1895</v>
      </c>
      <c r="C1007" s="9">
        <v>391</v>
      </c>
      <c r="D1007" s="9">
        <v>14</v>
      </c>
      <c r="E1007" s="9" t="s">
        <v>10</v>
      </c>
      <c r="F1007" s="6" t="s">
        <v>34</v>
      </c>
      <c r="G1007" s="6" t="s">
        <v>23</v>
      </c>
      <c r="H1007" s="11">
        <v>45419</v>
      </c>
      <c r="I1007" s="6" t="s">
        <v>1180</v>
      </c>
      <c r="J1007" s="6" t="s">
        <v>11</v>
      </c>
      <c r="K1007" s="6" t="s">
        <v>136</v>
      </c>
      <c r="L1007" s="6" t="s">
        <v>90</v>
      </c>
    </row>
    <row r="1008" spans="1:12">
      <c r="A1008" s="5" t="s">
        <v>826</v>
      </c>
      <c r="B1008" s="20">
        <v>1894</v>
      </c>
      <c r="C1008" s="9">
        <v>275</v>
      </c>
      <c r="D1008" s="9">
        <v>5</v>
      </c>
      <c r="E1008" s="9" t="s">
        <v>10</v>
      </c>
      <c r="F1008" s="6" t="s">
        <v>30</v>
      </c>
      <c r="G1008" s="6" t="s">
        <v>12</v>
      </c>
      <c r="H1008" s="9" t="s">
        <v>827</v>
      </c>
      <c r="I1008" s="6" t="s">
        <v>828</v>
      </c>
      <c r="J1008" s="6" t="s">
        <v>11</v>
      </c>
      <c r="K1008" s="6" t="s">
        <v>156</v>
      </c>
      <c r="L1008" s="6" t="s">
        <v>58</v>
      </c>
    </row>
    <row r="1009" spans="1:12">
      <c r="A1009" s="5" t="s">
        <v>1696</v>
      </c>
      <c r="B1009" s="20">
        <v>1860</v>
      </c>
      <c r="C1009" s="9">
        <v>457</v>
      </c>
      <c r="D1009" s="9">
        <v>13</v>
      </c>
      <c r="E1009" s="9" t="s">
        <v>6</v>
      </c>
      <c r="F1009" s="6" t="s">
        <v>24</v>
      </c>
      <c r="G1009" s="6" t="s">
        <v>20</v>
      </c>
      <c r="H1009" s="9" t="s">
        <v>950</v>
      </c>
      <c r="I1009" s="6" t="s">
        <v>1697</v>
      </c>
      <c r="J1009" s="6" t="s">
        <v>22</v>
      </c>
      <c r="K1009" s="6" t="s">
        <v>117</v>
      </c>
      <c r="L1009" s="6" t="s">
        <v>80</v>
      </c>
    </row>
    <row r="1010" spans="1:12">
      <c r="A1010" s="5" t="s">
        <v>783</v>
      </c>
      <c r="B1010" s="20">
        <v>1843</v>
      </c>
      <c r="C1010" s="9">
        <v>248</v>
      </c>
      <c r="D1010" s="9">
        <v>3</v>
      </c>
      <c r="E1010" s="9" t="s">
        <v>6</v>
      </c>
      <c r="F1010" s="6" t="s">
        <v>21</v>
      </c>
      <c r="G1010" s="6" t="s">
        <v>12</v>
      </c>
      <c r="H1010" s="11">
        <v>45638</v>
      </c>
      <c r="I1010" s="6" t="s">
        <v>784</v>
      </c>
      <c r="J1010" s="6" t="s">
        <v>22</v>
      </c>
      <c r="K1010" s="6" t="s">
        <v>117</v>
      </c>
      <c r="L1010" s="6" t="s">
        <v>95</v>
      </c>
    </row>
    <row r="1011" spans="1:12">
      <c r="A1011" s="3" t="s">
        <v>783</v>
      </c>
      <c r="B1011" s="19">
        <v>1843</v>
      </c>
      <c r="C1011" s="8">
        <v>248</v>
      </c>
      <c r="D1011" s="8">
        <v>3</v>
      </c>
      <c r="E1011" s="8" t="s">
        <v>6</v>
      </c>
      <c r="F1011" s="4" t="s">
        <v>21</v>
      </c>
      <c r="G1011" s="4" t="s">
        <v>12</v>
      </c>
      <c r="H1011" s="10">
        <v>45081</v>
      </c>
      <c r="I1011" s="4" t="s">
        <v>785</v>
      </c>
      <c r="J1011" s="4" t="s">
        <v>7</v>
      </c>
      <c r="K1011" s="4" t="s">
        <v>205</v>
      </c>
      <c r="L1011" s="4" t="s">
        <v>75</v>
      </c>
    </row>
    <row r="1012" spans="1:12">
      <c r="A1012" s="3" t="s">
        <v>1065</v>
      </c>
      <c r="B1012" s="19">
        <v>1818</v>
      </c>
      <c r="C1012" s="8">
        <v>738</v>
      </c>
      <c r="D1012" s="8">
        <v>11</v>
      </c>
      <c r="E1012" s="8" t="s">
        <v>14</v>
      </c>
      <c r="F1012" s="4" t="s">
        <v>40</v>
      </c>
      <c r="G1012" s="4" t="s">
        <v>20</v>
      </c>
      <c r="H1012" s="8" t="s">
        <v>1066</v>
      </c>
      <c r="I1012" s="4" t="s">
        <v>1067</v>
      </c>
      <c r="J1012" s="4" t="s">
        <v>7</v>
      </c>
      <c r="K1012" s="4" t="s">
        <v>162</v>
      </c>
      <c r="L1012" s="4" t="s">
        <v>67</v>
      </c>
    </row>
    <row r="1013" spans="1:12">
      <c r="A1013" s="5" t="s">
        <v>1065</v>
      </c>
      <c r="B1013" s="20">
        <v>1818</v>
      </c>
      <c r="C1013" s="9">
        <v>738</v>
      </c>
      <c r="D1013" s="9">
        <v>11</v>
      </c>
      <c r="E1013" s="9" t="s">
        <v>14</v>
      </c>
      <c r="F1013" s="6" t="s">
        <v>40</v>
      </c>
      <c r="G1013" s="6" t="s">
        <v>20</v>
      </c>
      <c r="H1013" s="9" t="s">
        <v>1068</v>
      </c>
      <c r="I1013" s="6" t="s">
        <v>1069</v>
      </c>
      <c r="J1013" s="6" t="s">
        <v>7</v>
      </c>
      <c r="K1013" s="6" t="s">
        <v>124</v>
      </c>
      <c r="L1013" s="6" t="s">
        <v>94</v>
      </c>
    </row>
    <row r="1014" spans="1:12">
      <c r="A1014" s="5" t="s">
        <v>1191</v>
      </c>
      <c r="B1014" s="20">
        <v>1801</v>
      </c>
      <c r="C1014" s="9">
        <v>641</v>
      </c>
      <c r="D1014" s="9">
        <v>20</v>
      </c>
      <c r="E1014" s="9" t="s">
        <v>14</v>
      </c>
      <c r="F1014" s="6" t="s">
        <v>40</v>
      </c>
      <c r="G1014" s="6" t="s">
        <v>12</v>
      </c>
      <c r="H1014" s="11">
        <v>45542</v>
      </c>
      <c r="I1014" s="6" t="s">
        <v>1192</v>
      </c>
      <c r="J1014" s="6" t="s">
        <v>7</v>
      </c>
      <c r="K1014" s="6" t="s">
        <v>205</v>
      </c>
      <c r="L1014" s="6" t="s">
        <v>90</v>
      </c>
    </row>
    <row r="1015" spans="1:12">
      <c r="A1015" s="5" t="s">
        <v>1698</v>
      </c>
      <c r="B1015" s="20">
        <v>1786</v>
      </c>
      <c r="C1015" s="9">
        <v>224</v>
      </c>
      <c r="D1015" s="9">
        <v>4</v>
      </c>
      <c r="E1015" s="9" t="s">
        <v>10</v>
      </c>
      <c r="F1015" s="6" t="s">
        <v>34</v>
      </c>
      <c r="G1015" s="6" t="s">
        <v>8</v>
      </c>
      <c r="H1015" s="9" t="s">
        <v>463</v>
      </c>
      <c r="I1015" s="6" t="s">
        <v>1699</v>
      </c>
      <c r="J1015" s="6" t="s">
        <v>25</v>
      </c>
      <c r="K1015" s="6" t="s">
        <v>129</v>
      </c>
      <c r="L1015" s="6" t="s">
        <v>55</v>
      </c>
    </row>
    <row r="1016" spans="1:12">
      <c r="A1016" s="5" t="s">
        <v>1700</v>
      </c>
      <c r="B1016" s="20">
        <v>1778</v>
      </c>
      <c r="C1016" s="9">
        <v>285</v>
      </c>
      <c r="D1016" s="9">
        <v>4</v>
      </c>
      <c r="E1016" s="9" t="s">
        <v>14</v>
      </c>
      <c r="F1016" s="6" t="s">
        <v>44</v>
      </c>
      <c r="G1016" s="6" t="s">
        <v>12</v>
      </c>
      <c r="H1016" s="11">
        <v>43928</v>
      </c>
      <c r="I1016" s="6" t="s">
        <v>1701</v>
      </c>
      <c r="J1016" s="6" t="s">
        <v>19</v>
      </c>
      <c r="K1016" s="6" t="s">
        <v>210</v>
      </c>
      <c r="L1016" s="6" t="s">
        <v>37</v>
      </c>
    </row>
    <row r="1017" spans="1:12">
      <c r="A1017" s="3" t="s">
        <v>972</v>
      </c>
      <c r="B1017" s="19">
        <v>1760</v>
      </c>
      <c r="C1017" s="8">
        <v>619</v>
      </c>
      <c r="D1017" s="8">
        <v>16</v>
      </c>
      <c r="E1017" s="8" t="s">
        <v>10</v>
      </c>
      <c r="F1017" s="4" t="s">
        <v>32</v>
      </c>
      <c r="G1017" s="4" t="s">
        <v>16</v>
      </c>
      <c r="H1017" s="8" t="s">
        <v>973</v>
      </c>
      <c r="I1017" s="4" t="s">
        <v>974</v>
      </c>
      <c r="J1017" s="4" t="s">
        <v>22</v>
      </c>
      <c r="K1017" s="4" t="s">
        <v>179</v>
      </c>
      <c r="L1017" s="4" t="s">
        <v>56</v>
      </c>
    </row>
    <row r="1018" spans="1:12">
      <c r="A1018" s="5" t="s">
        <v>972</v>
      </c>
      <c r="B1018" s="20">
        <v>1760</v>
      </c>
      <c r="C1018" s="9">
        <v>619</v>
      </c>
      <c r="D1018" s="9">
        <v>16</v>
      </c>
      <c r="E1018" s="9" t="s">
        <v>10</v>
      </c>
      <c r="F1018" s="6" t="s">
        <v>32</v>
      </c>
      <c r="G1018" s="6" t="s">
        <v>16</v>
      </c>
      <c r="H1018" s="9" t="s">
        <v>975</v>
      </c>
      <c r="I1018" s="6" t="s">
        <v>976</v>
      </c>
      <c r="J1018" s="6" t="s">
        <v>25</v>
      </c>
      <c r="K1018" s="6" t="s">
        <v>253</v>
      </c>
      <c r="L1018" s="6" t="s">
        <v>72</v>
      </c>
    </row>
    <row r="1019" spans="1:12">
      <c r="A1019" s="3" t="s">
        <v>1702</v>
      </c>
      <c r="B1019" s="19">
        <v>1757</v>
      </c>
      <c r="C1019" s="8">
        <v>622</v>
      </c>
      <c r="D1019" s="8">
        <v>10</v>
      </c>
      <c r="E1019" s="8" t="s">
        <v>10</v>
      </c>
      <c r="F1019" s="4" t="s">
        <v>30</v>
      </c>
      <c r="G1019" s="4" t="s">
        <v>23</v>
      </c>
      <c r="H1019" s="8" t="s">
        <v>1703</v>
      </c>
      <c r="I1019" s="4" t="s">
        <v>1704</v>
      </c>
      <c r="J1019" s="4" t="s">
        <v>22</v>
      </c>
      <c r="K1019" s="4" t="s">
        <v>117</v>
      </c>
      <c r="L1019" s="4" t="s">
        <v>62</v>
      </c>
    </row>
    <row r="1020" spans="1:12">
      <c r="A1020" s="5" t="s">
        <v>1702</v>
      </c>
      <c r="B1020" s="20">
        <v>1757</v>
      </c>
      <c r="C1020" s="9">
        <v>622</v>
      </c>
      <c r="D1020" s="9">
        <v>10</v>
      </c>
      <c r="E1020" s="9" t="s">
        <v>10</v>
      </c>
      <c r="F1020" s="6" t="s">
        <v>30</v>
      </c>
      <c r="G1020" s="6" t="s">
        <v>23</v>
      </c>
      <c r="H1020" s="9" t="s">
        <v>1705</v>
      </c>
      <c r="I1020" s="6" t="s">
        <v>1706</v>
      </c>
      <c r="J1020" s="6" t="s">
        <v>15</v>
      </c>
      <c r="K1020" s="6" t="s">
        <v>235</v>
      </c>
      <c r="L1020" s="6" t="s">
        <v>70</v>
      </c>
    </row>
    <row r="1021" spans="1:12">
      <c r="A1021" s="5" t="s">
        <v>628</v>
      </c>
      <c r="B1021" s="20">
        <v>1755</v>
      </c>
      <c r="C1021" s="9">
        <v>495</v>
      </c>
      <c r="D1021" s="9">
        <v>18</v>
      </c>
      <c r="E1021" s="9" t="s">
        <v>14</v>
      </c>
      <c r="F1021" s="6" t="s">
        <v>44</v>
      </c>
      <c r="G1021" s="6" t="s">
        <v>23</v>
      </c>
      <c r="H1021" s="9" t="s">
        <v>629</v>
      </c>
      <c r="I1021" s="6" t="s">
        <v>630</v>
      </c>
      <c r="J1021" s="6" t="s">
        <v>7</v>
      </c>
      <c r="K1021" s="6" t="s">
        <v>162</v>
      </c>
      <c r="L1021" s="6" t="s">
        <v>89</v>
      </c>
    </row>
    <row r="1022" spans="1:12">
      <c r="A1022" s="5" t="s">
        <v>339</v>
      </c>
      <c r="B1022" s="20">
        <v>1733</v>
      </c>
      <c r="C1022" s="9">
        <v>133</v>
      </c>
      <c r="D1022" s="9">
        <v>17</v>
      </c>
      <c r="E1022" s="9" t="s">
        <v>14</v>
      </c>
      <c r="F1022" s="6" t="s">
        <v>42</v>
      </c>
      <c r="G1022" s="6" t="s">
        <v>16</v>
      </c>
      <c r="H1022" s="9" t="s">
        <v>340</v>
      </c>
      <c r="I1022" s="6" t="s">
        <v>341</v>
      </c>
      <c r="J1022" s="6" t="s">
        <v>7</v>
      </c>
      <c r="K1022" s="6" t="s">
        <v>124</v>
      </c>
      <c r="L1022" s="6" t="s">
        <v>49</v>
      </c>
    </row>
    <row r="1023" spans="1:12">
      <c r="A1023" s="5" t="s">
        <v>447</v>
      </c>
      <c r="B1023" s="20">
        <v>1732</v>
      </c>
      <c r="C1023" s="9">
        <v>766</v>
      </c>
      <c r="D1023" s="9">
        <v>7</v>
      </c>
      <c r="E1023" s="9" t="s">
        <v>14</v>
      </c>
      <c r="F1023" s="6" t="s">
        <v>38</v>
      </c>
      <c r="G1023" s="6" t="s">
        <v>23</v>
      </c>
      <c r="H1023" s="9" t="s">
        <v>448</v>
      </c>
      <c r="I1023" s="6" t="s">
        <v>449</v>
      </c>
      <c r="J1023" s="6" t="s">
        <v>19</v>
      </c>
      <c r="K1023" s="6" t="s">
        <v>210</v>
      </c>
      <c r="L1023" s="6" t="s">
        <v>73</v>
      </c>
    </row>
    <row r="1024" spans="1:12">
      <c r="A1024" s="3" t="s">
        <v>227</v>
      </c>
      <c r="B1024" s="19">
        <v>1731</v>
      </c>
      <c r="C1024" s="8">
        <v>149</v>
      </c>
      <c r="D1024" s="8">
        <v>4</v>
      </c>
      <c r="E1024" s="8" t="s">
        <v>6</v>
      </c>
      <c r="F1024" s="4" t="s">
        <v>17</v>
      </c>
      <c r="G1024" s="4" t="s">
        <v>20</v>
      </c>
      <c r="H1024" s="8" t="s">
        <v>228</v>
      </c>
      <c r="I1024" s="4" t="s">
        <v>229</v>
      </c>
      <c r="J1024" s="4" t="s">
        <v>25</v>
      </c>
      <c r="K1024" s="4" t="s">
        <v>129</v>
      </c>
      <c r="L1024" s="4" t="s">
        <v>58</v>
      </c>
    </row>
    <row r="1025" spans="1:12">
      <c r="A1025" s="3" t="s">
        <v>544</v>
      </c>
      <c r="B1025" s="19">
        <v>1689</v>
      </c>
      <c r="C1025" s="8">
        <v>109</v>
      </c>
      <c r="D1025" s="8">
        <v>9</v>
      </c>
      <c r="E1025" s="8" t="s">
        <v>6</v>
      </c>
      <c r="F1025" s="4" t="s">
        <v>13</v>
      </c>
      <c r="G1025" s="4" t="s">
        <v>23</v>
      </c>
      <c r="H1025" s="8" t="s">
        <v>545</v>
      </c>
      <c r="I1025" s="4" t="s">
        <v>546</v>
      </c>
      <c r="J1025" s="4" t="s">
        <v>19</v>
      </c>
      <c r="K1025" s="4" t="s">
        <v>126</v>
      </c>
      <c r="L1025" s="4" t="s">
        <v>60</v>
      </c>
    </row>
    <row r="1026" spans="1:12">
      <c r="A1026" s="5" t="s">
        <v>1382</v>
      </c>
      <c r="B1026" s="20">
        <v>1676</v>
      </c>
      <c r="C1026" s="9">
        <v>330</v>
      </c>
      <c r="D1026" s="9">
        <v>14</v>
      </c>
      <c r="E1026" s="9" t="s">
        <v>6</v>
      </c>
      <c r="F1026" s="6" t="s">
        <v>17</v>
      </c>
      <c r="G1026" s="6" t="s">
        <v>20</v>
      </c>
      <c r="H1026" s="11">
        <v>44929</v>
      </c>
      <c r="I1026" s="6" t="s">
        <v>1383</v>
      </c>
      <c r="J1026" s="6" t="s">
        <v>22</v>
      </c>
      <c r="K1026" s="6" t="s">
        <v>117</v>
      </c>
      <c r="L1026" s="6" t="s">
        <v>74</v>
      </c>
    </row>
    <row r="1027" spans="1:12">
      <c r="A1027" s="3" t="s">
        <v>1707</v>
      </c>
      <c r="B1027" s="19">
        <v>1638</v>
      </c>
      <c r="C1027" s="8">
        <v>661</v>
      </c>
      <c r="D1027" s="8">
        <v>13</v>
      </c>
      <c r="E1027" s="8" t="s">
        <v>10</v>
      </c>
      <c r="F1027" s="4" t="s">
        <v>30</v>
      </c>
      <c r="G1027" s="4" t="s">
        <v>20</v>
      </c>
      <c r="H1027" s="8" t="s">
        <v>1708</v>
      </c>
      <c r="I1027" s="4" t="s">
        <v>1709</v>
      </c>
      <c r="J1027" s="4" t="s">
        <v>15</v>
      </c>
      <c r="K1027" s="4" t="s">
        <v>171</v>
      </c>
      <c r="L1027" s="4" t="s">
        <v>82</v>
      </c>
    </row>
    <row r="1028" spans="1:12">
      <c r="A1028" s="5" t="s">
        <v>1710</v>
      </c>
      <c r="B1028" s="20">
        <v>1629</v>
      </c>
      <c r="C1028" s="9">
        <v>265</v>
      </c>
      <c r="D1028" s="9">
        <v>1</v>
      </c>
      <c r="E1028" s="9" t="s">
        <v>14</v>
      </c>
      <c r="F1028" s="6" t="s">
        <v>42</v>
      </c>
      <c r="G1028" s="6" t="s">
        <v>23</v>
      </c>
      <c r="H1028" s="11">
        <v>45963</v>
      </c>
      <c r="I1028" s="6" t="s">
        <v>1711</v>
      </c>
      <c r="J1028" s="6" t="s">
        <v>25</v>
      </c>
      <c r="K1028" s="6" t="s">
        <v>129</v>
      </c>
      <c r="L1028" s="6" t="s">
        <v>97</v>
      </c>
    </row>
    <row r="1029" spans="1:12">
      <c r="A1029" s="3" t="s">
        <v>1710</v>
      </c>
      <c r="B1029" s="19">
        <v>1629</v>
      </c>
      <c r="C1029" s="8">
        <v>265</v>
      </c>
      <c r="D1029" s="8">
        <v>1</v>
      </c>
      <c r="E1029" s="8" t="s">
        <v>14</v>
      </c>
      <c r="F1029" s="4" t="s">
        <v>42</v>
      </c>
      <c r="G1029" s="4" t="s">
        <v>23</v>
      </c>
      <c r="H1029" s="8" t="s">
        <v>1712</v>
      </c>
      <c r="I1029" s="4" t="s">
        <v>1713</v>
      </c>
      <c r="J1029" s="4" t="s">
        <v>7</v>
      </c>
      <c r="K1029" s="4" t="s">
        <v>162</v>
      </c>
      <c r="L1029" s="4" t="s">
        <v>84</v>
      </c>
    </row>
    <row r="1030" spans="1:12">
      <c r="A1030" s="3" t="s">
        <v>1714</v>
      </c>
      <c r="B1030" s="19">
        <v>1626</v>
      </c>
      <c r="C1030" s="8">
        <v>258</v>
      </c>
      <c r="D1030" s="8">
        <v>15</v>
      </c>
      <c r="E1030" s="8" t="s">
        <v>14</v>
      </c>
      <c r="F1030" s="4" t="s">
        <v>44</v>
      </c>
      <c r="G1030" s="4" t="s">
        <v>20</v>
      </c>
      <c r="H1030" s="10">
        <v>44383</v>
      </c>
      <c r="I1030" s="4" t="s">
        <v>1715</v>
      </c>
      <c r="J1030" s="4" t="s">
        <v>11</v>
      </c>
      <c r="K1030" s="4" t="s">
        <v>120</v>
      </c>
      <c r="L1030" s="4" t="s">
        <v>53</v>
      </c>
    </row>
    <row r="1031" spans="1:12">
      <c r="A1031" s="5" t="s">
        <v>783</v>
      </c>
      <c r="B1031" s="20">
        <v>1603</v>
      </c>
      <c r="C1031" s="9">
        <v>361</v>
      </c>
      <c r="D1031" s="9">
        <v>10</v>
      </c>
      <c r="E1031" s="9" t="s">
        <v>14</v>
      </c>
      <c r="F1031" s="6" t="s">
        <v>44</v>
      </c>
      <c r="G1031" s="6" t="s">
        <v>16</v>
      </c>
      <c r="H1031" s="11">
        <v>45638</v>
      </c>
      <c r="I1031" s="6" t="s">
        <v>784</v>
      </c>
      <c r="J1031" s="6" t="s">
        <v>22</v>
      </c>
      <c r="K1031" s="6" t="s">
        <v>117</v>
      </c>
      <c r="L1031" s="6" t="s">
        <v>95</v>
      </c>
    </row>
    <row r="1032" spans="1:12">
      <c r="A1032" s="3" t="s">
        <v>783</v>
      </c>
      <c r="B1032" s="19">
        <v>1603</v>
      </c>
      <c r="C1032" s="8">
        <v>361</v>
      </c>
      <c r="D1032" s="8">
        <v>10</v>
      </c>
      <c r="E1032" s="8" t="s">
        <v>14</v>
      </c>
      <c r="F1032" s="4" t="s">
        <v>44</v>
      </c>
      <c r="G1032" s="4" t="s">
        <v>16</v>
      </c>
      <c r="H1032" s="10">
        <v>45081</v>
      </c>
      <c r="I1032" s="4" t="s">
        <v>785</v>
      </c>
      <c r="J1032" s="4" t="s">
        <v>7</v>
      </c>
      <c r="K1032" s="4" t="s">
        <v>205</v>
      </c>
      <c r="L1032" s="4" t="s">
        <v>75</v>
      </c>
    </row>
    <row r="1033" spans="1:12">
      <c r="A1033" s="5" t="s">
        <v>1716</v>
      </c>
      <c r="B1033" s="20">
        <v>1592</v>
      </c>
      <c r="C1033" s="9">
        <v>480</v>
      </c>
      <c r="D1033" s="9">
        <v>13</v>
      </c>
      <c r="E1033" s="9" t="s">
        <v>6</v>
      </c>
      <c r="F1033" s="6" t="s">
        <v>17</v>
      </c>
      <c r="G1033" s="6" t="s">
        <v>16</v>
      </c>
      <c r="H1033" s="9" t="s">
        <v>578</v>
      </c>
      <c r="I1033" s="6" t="s">
        <v>1717</v>
      </c>
      <c r="J1033" s="6" t="s">
        <v>22</v>
      </c>
      <c r="K1033" s="6" t="s">
        <v>117</v>
      </c>
      <c r="L1033" s="6" t="s">
        <v>60</v>
      </c>
    </row>
    <row r="1034" spans="1:12">
      <c r="A1034" s="5" t="s">
        <v>1718</v>
      </c>
      <c r="B1034" s="20">
        <v>1591</v>
      </c>
      <c r="C1034" s="9">
        <v>727</v>
      </c>
      <c r="D1034" s="9">
        <v>5</v>
      </c>
      <c r="E1034" s="9" t="s">
        <v>6</v>
      </c>
      <c r="F1034" s="6" t="s">
        <v>13</v>
      </c>
      <c r="G1034" s="6" t="s">
        <v>12</v>
      </c>
      <c r="H1034" s="9" t="s">
        <v>269</v>
      </c>
      <c r="I1034" s="6" t="s">
        <v>1719</v>
      </c>
      <c r="J1034" s="6" t="s">
        <v>15</v>
      </c>
      <c r="K1034" s="6" t="s">
        <v>171</v>
      </c>
      <c r="L1034" s="6" t="s">
        <v>65</v>
      </c>
    </row>
    <row r="1035" spans="1:12">
      <c r="A1035" s="3" t="s">
        <v>1718</v>
      </c>
      <c r="B1035" s="19">
        <v>1591</v>
      </c>
      <c r="C1035" s="8">
        <v>727</v>
      </c>
      <c r="D1035" s="8">
        <v>5</v>
      </c>
      <c r="E1035" s="8" t="s">
        <v>6</v>
      </c>
      <c r="F1035" s="4" t="s">
        <v>13</v>
      </c>
      <c r="G1035" s="4" t="s">
        <v>12</v>
      </c>
      <c r="H1035" s="8" t="s">
        <v>1720</v>
      </c>
      <c r="I1035" s="4" t="s">
        <v>1721</v>
      </c>
      <c r="J1035" s="4" t="s">
        <v>11</v>
      </c>
      <c r="K1035" s="4" t="s">
        <v>136</v>
      </c>
      <c r="L1035" s="4" t="s">
        <v>50</v>
      </c>
    </row>
    <row r="1036" spans="1:12">
      <c r="A1036" s="5" t="s">
        <v>1718</v>
      </c>
      <c r="B1036" s="20">
        <v>1591</v>
      </c>
      <c r="C1036" s="9">
        <v>727</v>
      </c>
      <c r="D1036" s="9">
        <v>5</v>
      </c>
      <c r="E1036" s="9" t="s">
        <v>6</v>
      </c>
      <c r="F1036" s="6" t="s">
        <v>13</v>
      </c>
      <c r="G1036" s="6" t="s">
        <v>12</v>
      </c>
      <c r="H1036" s="9" t="s">
        <v>1456</v>
      </c>
      <c r="I1036" s="6" t="s">
        <v>1722</v>
      </c>
      <c r="J1036" s="6" t="s">
        <v>22</v>
      </c>
      <c r="K1036" s="6" t="s">
        <v>223</v>
      </c>
      <c r="L1036" s="6" t="s">
        <v>61</v>
      </c>
    </row>
    <row r="1037" spans="1:12">
      <c r="A1037" s="5" t="s">
        <v>1415</v>
      </c>
      <c r="B1037" s="20">
        <v>1579</v>
      </c>
      <c r="C1037" s="9">
        <v>602</v>
      </c>
      <c r="D1037" s="9">
        <v>9</v>
      </c>
      <c r="E1037" s="9" t="s">
        <v>6</v>
      </c>
      <c r="F1037" s="6" t="s">
        <v>17</v>
      </c>
      <c r="G1037" s="6" t="s">
        <v>12</v>
      </c>
      <c r="H1037" s="9" t="s">
        <v>540</v>
      </c>
      <c r="I1037" s="6" t="s">
        <v>1416</v>
      </c>
      <c r="J1037" s="6" t="s">
        <v>22</v>
      </c>
      <c r="K1037" s="6" t="s">
        <v>223</v>
      </c>
      <c r="L1037" s="6" t="s">
        <v>33</v>
      </c>
    </row>
    <row r="1038" spans="1:12">
      <c r="A1038" s="3" t="s">
        <v>1415</v>
      </c>
      <c r="B1038" s="19">
        <v>1579</v>
      </c>
      <c r="C1038" s="8">
        <v>602</v>
      </c>
      <c r="D1038" s="8">
        <v>9</v>
      </c>
      <c r="E1038" s="8" t="s">
        <v>6</v>
      </c>
      <c r="F1038" s="4" t="s">
        <v>17</v>
      </c>
      <c r="G1038" s="4" t="s">
        <v>12</v>
      </c>
      <c r="H1038" s="8" t="s">
        <v>1417</v>
      </c>
      <c r="I1038" s="4" t="s">
        <v>1418</v>
      </c>
      <c r="J1038" s="4" t="s">
        <v>25</v>
      </c>
      <c r="K1038" s="4" t="s">
        <v>129</v>
      </c>
      <c r="L1038" s="4" t="s">
        <v>97</v>
      </c>
    </row>
    <row r="1039" spans="1:12">
      <c r="A1039" s="5" t="s">
        <v>1415</v>
      </c>
      <c r="B1039" s="20">
        <v>1579</v>
      </c>
      <c r="C1039" s="9">
        <v>602</v>
      </c>
      <c r="D1039" s="9">
        <v>9</v>
      </c>
      <c r="E1039" s="9" t="s">
        <v>6</v>
      </c>
      <c r="F1039" s="6" t="s">
        <v>17</v>
      </c>
      <c r="G1039" s="6" t="s">
        <v>12</v>
      </c>
      <c r="H1039" s="9" t="s">
        <v>201</v>
      </c>
      <c r="I1039" s="6" t="s">
        <v>1419</v>
      </c>
      <c r="J1039" s="6" t="s">
        <v>22</v>
      </c>
      <c r="K1039" s="6" t="s">
        <v>223</v>
      </c>
      <c r="L1039" s="6" t="s">
        <v>58</v>
      </c>
    </row>
    <row r="1040" spans="1:12">
      <c r="A1040" s="3" t="s">
        <v>1415</v>
      </c>
      <c r="B1040" s="19">
        <v>1579</v>
      </c>
      <c r="C1040" s="8">
        <v>602</v>
      </c>
      <c r="D1040" s="8">
        <v>9</v>
      </c>
      <c r="E1040" s="8" t="s">
        <v>6</v>
      </c>
      <c r="F1040" s="4" t="s">
        <v>17</v>
      </c>
      <c r="G1040" s="4" t="s">
        <v>12</v>
      </c>
      <c r="H1040" s="10">
        <v>45513</v>
      </c>
      <c r="I1040" s="4" t="s">
        <v>1420</v>
      </c>
      <c r="J1040" s="4" t="s">
        <v>19</v>
      </c>
      <c r="K1040" s="4" t="s">
        <v>108</v>
      </c>
      <c r="L1040" s="4" t="s">
        <v>92</v>
      </c>
    </row>
    <row r="1041" spans="1:12">
      <c r="A1041" s="5" t="s">
        <v>928</v>
      </c>
      <c r="B1041" s="20">
        <v>1574</v>
      </c>
      <c r="C1041" s="9">
        <v>258</v>
      </c>
      <c r="D1041" s="9">
        <v>17</v>
      </c>
      <c r="E1041" s="9" t="s">
        <v>14</v>
      </c>
      <c r="F1041" s="6" t="s">
        <v>44</v>
      </c>
      <c r="G1041" s="6" t="s">
        <v>20</v>
      </c>
      <c r="H1041" s="9" t="s">
        <v>929</v>
      </c>
      <c r="I1041" s="6" t="s">
        <v>930</v>
      </c>
      <c r="J1041" s="6" t="s">
        <v>7</v>
      </c>
      <c r="K1041" s="6" t="s">
        <v>162</v>
      </c>
      <c r="L1041" s="6" t="s">
        <v>41</v>
      </c>
    </row>
    <row r="1042" spans="1:12">
      <c r="A1042" s="5" t="s">
        <v>753</v>
      </c>
      <c r="B1042" s="20">
        <v>1564</v>
      </c>
      <c r="C1042" s="9">
        <v>674</v>
      </c>
      <c r="D1042" s="9">
        <v>13</v>
      </c>
      <c r="E1042" s="9" t="s">
        <v>6</v>
      </c>
      <c r="F1042" s="6" t="s">
        <v>13</v>
      </c>
      <c r="G1042" s="6" t="s">
        <v>16</v>
      </c>
      <c r="H1042" s="11">
        <v>44905</v>
      </c>
      <c r="I1042" s="6" t="s">
        <v>754</v>
      </c>
      <c r="J1042" s="6" t="s">
        <v>7</v>
      </c>
      <c r="K1042" s="6" t="s">
        <v>162</v>
      </c>
      <c r="L1042" s="6" t="s">
        <v>69</v>
      </c>
    </row>
    <row r="1043" spans="1:12">
      <c r="A1043" s="5" t="s">
        <v>1723</v>
      </c>
      <c r="B1043" s="20">
        <v>1548</v>
      </c>
      <c r="C1043" s="9">
        <v>666</v>
      </c>
      <c r="D1043" s="9">
        <v>3</v>
      </c>
      <c r="E1043" s="9" t="s">
        <v>14</v>
      </c>
      <c r="F1043" s="6" t="s">
        <v>42</v>
      </c>
      <c r="G1043" s="6" t="s">
        <v>12</v>
      </c>
      <c r="H1043" s="11">
        <v>44256</v>
      </c>
      <c r="I1043" s="6" t="s">
        <v>1724</v>
      </c>
      <c r="J1043" s="6" t="s">
        <v>7</v>
      </c>
      <c r="K1043" s="6" t="s">
        <v>205</v>
      </c>
      <c r="L1043" s="6" t="s">
        <v>48</v>
      </c>
    </row>
    <row r="1044" spans="1:12">
      <c r="A1044" s="3" t="s">
        <v>1725</v>
      </c>
      <c r="B1044" s="19">
        <v>1525</v>
      </c>
      <c r="C1044" s="8">
        <v>185</v>
      </c>
      <c r="D1044" s="8">
        <v>12</v>
      </c>
      <c r="E1044" s="8" t="s">
        <v>14</v>
      </c>
      <c r="F1044" s="4" t="s">
        <v>44</v>
      </c>
      <c r="G1044" s="4" t="s">
        <v>16</v>
      </c>
      <c r="H1044" s="10">
        <v>45601</v>
      </c>
      <c r="I1044" s="4" t="s">
        <v>1726</v>
      </c>
      <c r="J1044" s="4" t="s">
        <v>11</v>
      </c>
      <c r="K1044" s="4" t="s">
        <v>120</v>
      </c>
      <c r="L1044" s="4" t="s">
        <v>88</v>
      </c>
    </row>
    <row r="1045" spans="1:12">
      <c r="A1045" s="5" t="s">
        <v>1725</v>
      </c>
      <c r="B1045" s="20">
        <v>1525</v>
      </c>
      <c r="C1045" s="9">
        <v>185</v>
      </c>
      <c r="D1045" s="9">
        <v>12</v>
      </c>
      <c r="E1045" s="9" t="s">
        <v>14</v>
      </c>
      <c r="F1045" s="6" t="s">
        <v>44</v>
      </c>
      <c r="G1045" s="6" t="s">
        <v>16</v>
      </c>
      <c r="H1045" s="11">
        <v>44449</v>
      </c>
      <c r="I1045" s="6" t="s">
        <v>1727</v>
      </c>
      <c r="J1045" s="6" t="s">
        <v>11</v>
      </c>
      <c r="K1045" s="6" t="s">
        <v>156</v>
      </c>
      <c r="L1045" s="6" t="s">
        <v>57</v>
      </c>
    </row>
    <row r="1046" spans="1:12">
      <c r="A1046" s="3" t="s">
        <v>377</v>
      </c>
      <c r="B1046" s="19">
        <v>1523</v>
      </c>
      <c r="C1046" s="8">
        <v>234</v>
      </c>
      <c r="D1046" s="8">
        <v>3</v>
      </c>
      <c r="E1046" s="8" t="s">
        <v>10</v>
      </c>
      <c r="F1046" s="4" t="s">
        <v>32</v>
      </c>
      <c r="G1046" s="4" t="s">
        <v>23</v>
      </c>
      <c r="H1046" s="10">
        <v>45144</v>
      </c>
      <c r="I1046" s="4" t="s">
        <v>378</v>
      </c>
      <c r="J1046" s="4" t="s">
        <v>19</v>
      </c>
      <c r="K1046" s="4" t="s">
        <v>108</v>
      </c>
      <c r="L1046" s="4" t="s">
        <v>77</v>
      </c>
    </row>
    <row r="1047" spans="1:12">
      <c r="A1047" s="5" t="s">
        <v>1728</v>
      </c>
      <c r="B1047" s="20">
        <v>1518</v>
      </c>
      <c r="C1047" s="9">
        <v>155</v>
      </c>
      <c r="D1047" s="9">
        <v>13</v>
      </c>
      <c r="E1047" s="9" t="s">
        <v>14</v>
      </c>
      <c r="F1047" s="6" t="s">
        <v>40</v>
      </c>
      <c r="G1047" s="6" t="s">
        <v>12</v>
      </c>
      <c r="H1047" s="9" t="s">
        <v>1729</v>
      </c>
      <c r="I1047" s="6" t="s">
        <v>1730</v>
      </c>
      <c r="J1047" s="6" t="s">
        <v>22</v>
      </c>
      <c r="K1047" s="6" t="s">
        <v>179</v>
      </c>
      <c r="L1047" s="6" t="s">
        <v>80</v>
      </c>
    </row>
    <row r="1048" spans="1:12">
      <c r="A1048" s="5" t="s">
        <v>1731</v>
      </c>
      <c r="B1048" s="20">
        <v>1518</v>
      </c>
      <c r="C1048" s="9">
        <v>159</v>
      </c>
      <c r="D1048" s="9">
        <v>19</v>
      </c>
      <c r="E1048" s="9" t="s">
        <v>6</v>
      </c>
      <c r="F1048" s="6" t="s">
        <v>24</v>
      </c>
      <c r="G1048" s="6" t="s">
        <v>23</v>
      </c>
      <c r="H1048" s="9" t="s">
        <v>431</v>
      </c>
      <c r="I1048" s="6" t="s">
        <v>1732</v>
      </c>
      <c r="J1048" s="6" t="s">
        <v>7</v>
      </c>
      <c r="K1048" s="6" t="s">
        <v>162</v>
      </c>
      <c r="L1048" s="6" t="s">
        <v>41</v>
      </c>
    </row>
    <row r="1049" spans="1:12">
      <c r="A1049" s="5" t="s">
        <v>137</v>
      </c>
      <c r="B1049" s="20">
        <v>1496</v>
      </c>
      <c r="C1049" s="9">
        <v>662</v>
      </c>
      <c r="D1049" s="9">
        <v>17</v>
      </c>
      <c r="E1049" s="9" t="s">
        <v>10</v>
      </c>
      <c r="F1049" s="6" t="s">
        <v>28</v>
      </c>
      <c r="G1049" s="6" t="s">
        <v>23</v>
      </c>
      <c r="H1049" s="9" t="s">
        <v>138</v>
      </c>
      <c r="I1049" s="6" t="s">
        <v>139</v>
      </c>
      <c r="J1049" s="6" t="s">
        <v>19</v>
      </c>
      <c r="K1049" s="6" t="s">
        <v>126</v>
      </c>
      <c r="L1049" s="6" t="s">
        <v>65</v>
      </c>
    </row>
    <row r="1050" spans="1:12">
      <c r="A1050" s="3" t="s">
        <v>137</v>
      </c>
      <c r="B1050" s="19">
        <v>1496</v>
      </c>
      <c r="C1050" s="8">
        <v>662</v>
      </c>
      <c r="D1050" s="8">
        <v>17</v>
      </c>
      <c r="E1050" s="8" t="s">
        <v>10</v>
      </c>
      <c r="F1050" s="4" t="s">
        <v>28</v>
      </c>
      <c r="G1050" s="4" t="s">
        <v>23</v>
      </c>
      <c r="H1050" s="10">
        <v>45510</v>
      </c>
      <c r="I1050" s="4" t="s">
        <v>140</v>
      </c>
      <c r="J1050" s="4" t="s">
        <v>19</v>
      </c>
      <c r="K1050" s="4" t="s">
        <v>108</v>
      </c>
      <c r="L1050" s="4" t="s">
        <v>89</v>
      </c>
    </row>
    <row r="1051" spans="1:12">
      <c r="A1051" s="3" t="s">
        <v>1733</v>
      </c>
      <c r="B1051" s="19">
        <v>1486</v>
      </c>
      <c r="C1051" s="8">
        <v>114</v>
      </c>
      <c r="D1051" s="8">
        <v>7</v>
      </c>
      <c r="E1051" s="8" t="s">
        <v>10</v>
      </c>
      <c r="F1051" s="4" t="s">
        <v>28</v>
      </c>
      <c r="G1051" s="4" t="s">
        <v>23</v>
      </c>
      <c r="H1051" s="10">
        <v>44415</v>
      </c>
      <c r="I1051" s="4" t="s">
        <v>1734</v>
      </c>
      <c r="J1051" s="4" t="s">
        <v>19</v>
      </c>
      <c r="K1051" s="4" t="s">
        <v>210</v>
      </c>
      <c r="L1051" s="4" t="s">
        <v>54</v>
      </c>
    </row>
    <row r="1052" spans="1:12">
      <c r="A1052" s="5" t="s">
        <v>1733</v>
      </c>
      <c r="B1052" s="20">
        <v>1486</v>
      </c>
      <c r="C1052" s="9">
        <v>114</v>
      </c>
      <c r="D1052" s="9">
        <v>7</v>
      </c>
      <c r="E1052" s="9" t="s">
        <v>10</v>
      </c>
      <c r="F1052" s="6" t="s">
        <v>28</v>
      </c>
      <c r="G1052" s="6" t="s">
        <v>23</v>
      </c>
      <c r="H1052" s="11">
        <v>44047</v>
      </c>
      <c r="I1052" s="6" t="s">
        <v>1735</v>
      </c>
      <c r="J1052" s="6" t="s">
        <v>22</v>
      </c>
      <c r="K1052" s="6" t="s">
        <v>117</v>
      </c>
      <c r="L1052" s="6" t="s">
        <v>31</v>
      </c>
    </row>
    <row r="1053" spans="1:12">
      <c r="A1053" s="3" t="s">
        <v>1736</v>
      </c>
      <c r="B1053" s="19">
        <v>1476</v>
      </c>
      <c r="C1053" s="8">
        <v>247</v>
      </c>
      <c r="D1053" s="8">
        <v>5</v>
      </c>
      <c r="E1053" s="8" t="s">
        <v>10</v>
      </c>
      <c r="F1053" s="4" t="s">
        <v>28</v>
      </c>
      <c r="G1053" s="4" t="s">
        <v>8</v>
      </c>
      <c r="H1053" s="8" t="s">
        <v>1737</v>
      </c>
      <c r="I1053" s="4" t="s">
        <v>1738</v>
      </c>
      <c r="J1053" s="4" t="s">
        <v>7</v>
      </c>
      <c r="K1053" s="4" t="s">
        <v>205</v>
      </c>
      <c r="L1053" s="4" t="s">
        <v>82</v>
      </c>
    </row>
    <row r="1054" spans="1:12">
      <c r="A1054" s="5" t="s">
        <v>1736</v>
      </c>
      <c r="B1054" s="20">
        <v>1476</v>
      </c>
      <c r="C1054" s="9">
        <v>247</v>
      </c>
      <c r="D1054" s="9">
        <v>5</v>
      </c>
      <c r="E1054" s="9" t="s">
        <v>10</v>
      </c>
      <c r="F1054" s="6" t="s">
        <v>28</v>
      </c>
      <c r="G1054" s="6" t="s">
        <v>8</v>
      </c>
      <c r="H1054" s="9" t="s">
        <v>1739</v>
      </c>
      <c r="I1054" s="6" t="s">
        <v>1740</v>
      </c>
      <c r="J1054" s="6" t="s">
        <v>7</v>
      </c>
      <c r="K1054" s="6" t="s">
        <v>162</v>
      </c>
      <c r="L1054" s="6" t="s">
        <v>60</v>
      </c>
    </row>
    <row r="1055" spans="1:12">
      <c r="A1055" s="5" t="s">
        <v>1741</v>
      </c>
      <c r="B1055" s="20">
        <v>1454</v>
      </c>
      <c r="C1055" s="9">
        <v>80</v>
      </c>
      <c r="D1055" s="9">
        <v>20</v>
      </c>
      <c r="E1055" s="9" t="s">
        <v>6</v>
      </c>
      <c r="F1055" s="6" t="s">
        <v>13</v>
      </c>
      <c r="G1055" s="6" t="s">
        <v>12</v>
      </c>
      <c r="H1055" s="9" t="s">
        <v>1742</v>
      </c>
      <c r="I1055" s="6" t="s">
        <v>1743</v>
      </c>
      <c r="J1055" s="6" t="s">
        <v>19</v>
      </c>
      <c r="K1055" s="6" t="s">
        <v>108</v>
      </c>
      <c r="L1055" s="6" t="s">
        <v>66</v>
      </c>
    </row>
    <row r="1056" spans="1:12">
      <c r="A1056" s="5" t="s">
        <v>1744</v>
      </c>
      <c r="B1056" s="20">
        <v>1397</v>
      </c>
      <c r="C1056" s="9">
        <v>686</v>
      </c>
      <c r="D1056" s="9">
        <v>11</v>
      </c>
      <c r="E1056" s="9" t="s">
        <v>10</v>
      </c>
      <c r="F1056" s="6" t="s">
        <v>30</v>
      </c>
      <c r="G1056" s="6" t="s">
        <v>12</v>
      </c>
      <c r="H1056" s="11">
        <v>44389</v>
      </c>
      <c r="I1056" s="6" t="s">
        <v>1745</v>
      </c>
      <c r="J1056" s="6" t="s">
        <v>19</v>
      </c>
      <c r="K1056" s="6" t="s">
        <v>210</v>
      </c>
      <c r="L1056" s="6" t="s">
        <v>59</v>
      </c>
    </row>
    <row r="1057" spans="1:12">
      <c r="A1057" s="3" t="s">
        <v>521</v>
      </c>
      <c r="B1057" s="19">
        <v>1388</v>
      </c>
      <c r="C1057" s="8">
        <v>345</v>
      </c>
      <c r="D1057" s="8">
        <v>5</v>
      </c>
      <c r="E1057" s="8" t="s">
        <v>10</v>
      </c>
      <c r="F1057" s="4" t="s">
        <v>32</v>
      </c>
      <c r="G1057" s="4" t="s">
        <v>23</v>
      </c>
      <c r="H1057" s="10">
        <v>45422</v>
      </c>
      <c r="I1057" s="4" t="s">
        <v>522</v>
      </c>
      <c r="J1057" s="4" t="s">
        <v>19</v>
      </c>
      <c r="K1057" s="4" t="s">
        <v>210</v>
      </c>
      <c r="L1057" s="4" t="s">
        <v>93</v>
      </c>
    </row>
    <row r="1058" spans="1:12">
      <c r="A1058" s="3" t="s">
        <v>1318</v>
      </c>
      <c r="B1058" s="19">
        <v>1379</v>
      </c>
      <c r="C1058" s="8">
        <v>250</v>
      </c>
      <c r="D1058" s="8">
        <v>3</v>
      </c>
      <c r="E1058" s="8" t="s">
        <v>14</v>
      </c>
      <c r="F1058" s="4" t="s">
        <v>44</v>
      </c>
      <c r="G1058" s="4" t="s">
        <v>12</v>
      </c>
      <c r="H1058" s="10">
        <v>44053</v>
      </c>
      <c r="I1058" s="4" t="s">
        <v>1319</v>
      </c>
      <c r="J1058" s="4" t="s">
        <v>19</v>
      </c>
      <c r="K1058" s="4" t="s">
        <v>126</v>
      </c>
      <c r="L1058" s="4" t="s">
        <v>43</v>
      </c>
    </row>
    <row r="1059" spans="1:12">
      <c r="A1059" s="3" t="s">
        <v>1661</v>
      </c>
      <c r="B1059" s="19">
        <v>1368</v>
      </c>
      <c r="C1059" s="8">
        <v>406</v>
      </c>
      <c r="D1059" s="8">
        <v>9</v>
      </c>
      <c r="E1059" s="8" t="s">
        <v>10</v>
      </c>
      <c r="F1059" s="4" t="s">
        <v>28</v>
      </c>
      <c r="G1059" s="4" t="s">
        <v>23</v>
      </c>
      <c r="H1059" s="8" t="s">
        <v>1662</v>
      </c>
      <c r="I1059" s="4" t="s">
        <v>1663</v>
      </c>
      <c r="J1059" s="4" t="s">
        <v>25</v>
      </c>
      <c r="K1059" s="4" t="s">
        <v>129</v>
      </c>
      <c r="L1059" s="4" t="s">
        <v>61</v>
      </c>
    </row>
    <row r="1060" spans="1:12">
      <c r="A1060" s="3" t="s">
        <v>1728</v>
      </c>
      <c r="B1060" s="19">
        <v>1366</v>
      </c>
      <c r="C1060" s="8">
        <v>242</v>
      </c>
      <c r="D1060" s="8">
        <v>17</v>
      </c>
      <c r="E1060" s="8" t="s">
        <v>6</v>
      </c>
      <c r="F1060" s="4" t="s">
        <v>13</v>
      </c>
      <c r="G1060" s="4" t="s">
        <v>20</v>
      </c>
      <c r="H1060" s="8" t="s">
        <v>1729</v>
      </c>
      <c r="I1060" s="4" t="s">
        <v>1730</v>
      </c>
      <c r="J1060" s="4" t="s">
        <v>22</v>
      </c>
      <c r="K1060" s="4" t="s">
        <v>179</v>
      </c>
      <c r="L1060" s="4" t="s">
        <v>80</v>
      </c>
    </row>
    <row r="1061" spans="1:12">
      <c r="A1061" s="5" t="s">
        <v>1746</v>
      </c>
      <c r="B1061" s="20">
        <v>1341</v>
      </c>
      <c r="C1061" s="9">
        <v>615</v>
      </c>
      <c r="D1061" s="9">
        <v>4</v>
      </c>
      <c r="E1061" s="9" t="s">
        <v>6</v>
      </c>
      <c r="F1061" s="6" t="s">
        <v>17</v>
      </c>
      <c r="G1061" s="6" t="s">
        <v>23</v>
      </c>
      <c r="H1061" s="11">
        <v>44903</v>
      </c>
      <c r="I1061" s="6" t="s">
        <v>1747</v>
      </c>
      <c r="J1061" s="6" t="s">
        <v>11</v>
      </c>
      <c r="K1061" s="6" t="s">
        <v>120</v>
      </c>
      <c r="L1061" s="6" t="s">
        <v>67</v>
      </c>
    </row>
    <row r="1062" spans="1:12">
      <c r="A1062" s="3" t="s">
        <v>1304</v>
      </c>
      <c r="B1062" s="19">
        <v>1314</v>
      </c>
      <c r="C1062" s="8">
        <v>490</v>
      </c>
      <c r="D1062" s="8">
        <v>16</v>
      </c>
      <c r="E1062" s="8" t="s">
        <v>10</v>
      </c>
      <c r="F1062" s="4" t="s">
        <v>32</v>
      </c>
      <c r="G1062" s="4" t="s">
        <v>23</v>
      </c>
      <c r="H1062" s="8" t="s">
        <v>762</v>
      </c>
      <c r="I1062" s="4" t="s">
        <v>1305</v>
      </c>
      <c r="J1062" s="4" t="s">
        <v>19</v>
      </c>
      <c r="K1062" s="4" t="s">
        <v>126</v>
      </c>
      <c r="L1062" s="4" t="s">
        <v>58</v>
      </c>
    </row>
    <row r="1063" spans="1:12">
      <c r="A1063" s="3" t="s">
        <v>1748</v>
      </c>
      <c r="B1063" s="19">
        <v>1314</v>
      </c>
      <c r="C1063" s="8">
        <v>457</v>
      </c>
      <c r="D1063" s="8">
        <v>8</v>
      </c>
      <c r="E1063" s="8" t="s">
        <v>10</v>
      </c>
      <c r="F1063" s="4" t="s">
        <v>32</v>
      </c>
      <c r="G1063" s="4" t="s">
        <v>20</v>
      </c>
      <c r="H1063" s="10">
        <v>44506</v>
      </c>
      <c r="I1063" s="4" t="s">
        <v>1749</v>
      </c>
      <c r="J1063" s="4" t="s">
        <v>7</v>
      </c>
      <c r="K1063" s="4" t="s">
        <v>162</v>
      </c>
      <c r="L1063" s="4" t="s">
        <v>53</v>
      </c>
    </row>
    <row r="1064" spans="1:12">
      <c r="A1064" s="3" t="s">
        <v>649</v>
      </c>
      <c r="B1064" s="19">
        <v>1297</v>
      </c>
      <c r="C1064" s="8">
        <v>600</v>
      </c>
      <c r="D1064" s="8">
        <v>7</v>
      </c>
      <c r="E1064" s="8" t="s">
        <v>14</v>
      </c>
      <c r="F1064" s="4" t="s">
        <v>38</v>
      </c>
      <c r="G1064" s="4" t="s">
        <v>12</v>
      </c>
      <c r="H1064" s="8" t="s">
        <v>650</v>
      </c>
      <c r="I1064" s="4" t="s">
        <v>651</v>
      </c>
      <c r="J1064" s="4" t="s">
        <v>11</v>
      </c>
      <c r="K1064" s="4" t="s">
        <v>120</v>
      </c>
      <c r="L1064" s="4" t="s">
        <v>85</v>
      </c>
    </row>
    <row r="1065" spans="1:12">
      <c r="A1065" s="5" t="s">
        <v>1750</v>
      </c>
      <c r="B1065" s="20">
        <v>1290</v>
      </c>
      <c r="C1065" s="9">
        <v>204</v>
      </c>
      <c r="D1065" s="9">
        <v>12</v>
      </c>
      <c r="E1065" s="9" t="s">
        <v>14</v>
      </c>
      <c r="F1065" s="6" t="s">
        <v>40</v>
      </c>
      <c r="G1065" s="6" t="s">
        <v>23</v>
      </c>
      <c r="H1065" s="9" t="s">
        <v>932</v>
      </c>
      <c r="I1065" s="6" t="s">
        <v>1751</v>
      </c>
      <c r="J1065" s="6" t="s">
        <v>19</v>
      </c>
      <c r="K1065" s="6" t="s">
        <v>126</v>
      </c>
      <c r="L1065" s="6" t="s">
        <v>89</v>
      </c>
    </row>
    <row r="1066" spans="1:12">
      <c r="A1066" s="3" t="s">
        <v>1750</v>
      </c>
      <c r="B1066" s="19">
        <v>1290</v>
      </c>
      <c r="C1066" s="8">
        <v>204</v>
      </c>
      <c r="D1066" s="8">
        <v>12</v>
      </c>
      <c r="E1066" s="8" t="s">
        <v>14</v>
      </c>
      <c r="F1066" s="4" t="s">
        <v>40</v>
      </c>
      <c r="G1066" s="4" t="s">
        <v>23</v>
      </c>
      <c r="H1066" s="8" t="s">
        <v>896</v>
      </c>
      <c r="I1066" s="4" t="s">
        <v>1752</v>
      </c>
      <c r="J1066" s="4" t="s">
        <v>7</v>
      </c>
      <c r="K1066" s="4" t="s">
        <v>124</v>
      </c>
      <c r="L1066" s="4" t="s">
        <v>95</v>
      </c>
    </row>
    <row r="1067" spans="1:12">
      <c r="A1067" s="5" t="s">
        <v>1650</v>
      </c>
      <c r="B1067" s="20">
        <v>1281</v>
      </c>
      <c r="C1067" s="9">
        <v>340</v>
      </c>
      <c r="D1067" s="9">
        <v>3</v>
      </c>
      <c r="E1067" s="9" t="s">
        <v>6</v>
      </c>
      <c r="F1067" s="6" t="s">
        <v>13</v>
      </c>
      <c r="G1067" s="6" t="s">
        <v>16</v>
      </c>
      <c r="H1067" s="9" t="s">
        <v>1517</v>
      </c>
      <c r="I1067" s="6" t="s">
        <v>1651</v>
      </c>
      <c r="J1067" s="6" t="s">
        <v>25</v>
      </c>
      <c r="K1067" s="6" t="s">
        <v>111</v>
      </c>
      <c r="L1067" s="6" t="s">
        <v>59</v>
      </c>
    </row>
    <row r="1068" spans="1:12">
      <c r="A1068" s="3" t="s">
        <v>1753</v>
      </c>
      <c r="B1068" s="19">
        <v>1262</v>
      </c>
      <c r="C1068" s="8">
        <v>515</v>
      </c>
      <c r="D1068" s="8">
        <v>16</v>
      </c>
      <c r="E1068" s="8" t="s">
        <v>6</v>
      </c>
      <c r="F1068" s="4" t="s">
        <v>13</v>
      </c>
      <c r="G1068" s="4" t="s">
        <v>20</v>
      </c>
      <c r="H1068" s="8" t="s">
        <v>1754</v>
      </c>
      <c r="I1068" s="4" t="s">
        <v>1755</v>
      </c>
      <c r="J1068" s="4" t="s">
        <v>19</v>
      </c>
      <c r="K1068" s="4" t="s">
        <v>108</v>
      </c>
      <c r="L1068" s="4" t="s">
        <v>71</v>
      </c>
    </row>
    <row r="1069" spans="1:12">
      <c r="A1069" s="5" t="s">
        <v>1753</v>
      </c>
      <c r="B1069" s="20">
        <v>1262</v>
      </c>
      <c r="C1069" s="9">
        <v>515</v>
      </c>
      <c r="D1069" s="9">
        <v>16</v>
      </c>
      <c r="E1069" s="9" t="s">
        <v>6</v>
      </c>
      <c r="F1069" s="6" t="s">
        <v>13</v>
      </c>
      <c r="G1069" s="6" t="s">
        <v>20</v>
      </c>
      <c r="H1069" s="11">
        <v>44779</v>
      </c>
      <c r="I1069" s="6" t="s">
        <v>1756</v>
      </c>
      <c r="J1069" s="6" t="s">
        <v>15</v>
      </c>
      <c r="K1069" s="6" t="s">
        <v>171</v>
      </c>
      <c r="L1069" s="6" t="s">
        <v>65</v>
      </c>
    </row>
    <row r="1070" spans="1:12">
      <c r="A1070" s="3" t="s">
        <v>1436</v>
      </c>
      <c r="B1070" s="19">
        <v>1248</v>
      </c>
      <c r="C1070" s="8">
        <v>584</v>
      </c>
      <c r="D1070" s="8">
        <v>13</v>
      </c>
      <c r="E1070" s="8" t="s">
        <v>14</v>
      </c>
      <c r="F1070" s="4" t="s">
        <v>44</v>
      </c>
      <c r="G1070" s="4" t="s">
        <v>20</v>
      </c>
      <c r="H1070" s="8" t="s">
        <v>1437</v>
      </c>
      <c r="I1070" s="4" t="s">
        <v>1438</v>
      </c>
      <c r="J1070" s="4" t="s">
        <v>22</v>
      </c>
      <c r="K1070" s="4" t="s">
        <v>179</v>
      </c>
      <c r="L1070" s="4" t="s">
        <v>84</v>
      </c>
    </row>
    <row r="1071" spans="1:12">
      <c r="A1071" s="5" t="s">
        <v>1436</v>
      </c>
      <c r="B1071" s="20">
        <v>1248</v>
      </c>
      <c r="C1071" s="9">
        <v>584</v>
      </c>
      <c r="D1071" s="9">
        <v>13</v>
      </c>
      <c r="E1071" s="9" t="s">
        <v>14</v>
      </c>
      <c r="F1071" s="6" t="s">
        <v>44</v>
      </c>
      <c r="G1071" s="6" t="s">
        <v>20</v>
      </c>
      <c r="H1071" s="9" t="s">
        <v>680</v>
      </c>
      <c r="I1071" s="6" t="s">
        <v>1439</v>
      </c>
      <c r="J1071" s="6" t="s">
        <v>7</v>
      </c>
      <c r="K1071" s="6" t="s">
        <v>124</v>
      </c>
      <c r="L1071" s="6" t="s">
        <v>71</v>
      </c>
    </row>
    <row r="1072" spans="1:12">
      <c r="A1072" s="3" t="s">
        <v>1753</v>
      </c>
      <c r="B1072" s="19">
        <v>1239</v>
      </c>
      <c r="C1072" s="8">
        <v>575</v>
      </c>
      <c r="D1072" s="8">
        <v>17</v>
      </c>
      <c r="E1072" s="8" t="s">
        <v>6</v>
      </c>
      <c r="F1072" s="4" t="s">
        <v>17</v>
      </c>
      <c r="G1072" s="4" t="s">
        <v>23</v>
      </c>
      <c r="H1072" s="8" t="s">
        <v>1754</v>
      </c>
      <c r="I1072" s="4" t="s">
        <v>1755</v>
      </c>
      <c r="J1072" s="4" t="s">
        <v>19</v>
      </c>
      <c r="K1072" s="4" t="s">
        <v>108</v>
      </c>
      <c r="L1072" s="4" t="s">
        <v>71</v>
      </c>
    </row>
    <row r="1073" spans="1:12">
      <c r="A1073" s="5" t="s">
        <v>1753</v>
      </c>
      <c r="B1073" s="20">
        <v>1239</v>
      </c>
      <c r="C1073" s="9">
        <v>575</v>
      </c>
      <c r="D1073" s="9">
        <v>17</v>
      </c>
      <c r="E1073" s="9" t="s">
        <v>6</v>
      </c>
      <c r="F1073" s="6" t="s">
        <v>17</v>
      </c>
      <c r="G1073" s="6" t="s">
        <v>23</v>
      </c>
      <c r="H1073" s="11">
        <v>44779</v>
      </c>
      <c r="I1073" s="6" t="s">
        <v>1756</v>
      </c>
      <c r="J1073" s="6" t="s">
        <v>15</v>
      </c>
      <c r="K1073" s="6" t="s">
        <v>171</v>
      </c>
      <c r="L1073" s="6" t="s">
        <v>65</v>
      </c>
    </row>
    <row r="1074" spans="1:12">
      <c r="A1074" s="3" t="s">
        <v>1757</v>
      </c>
      <c r="B1074" s="19">
        <v>1231</v>
      </c>
      <c r="C1074" s="8">
        <v>214</v>
      </c>
      <c r="D1074" s="8">
        <v>20</v>
      </c>
      <c r="E1074" s="8" t="s">
        <v>6</v>
      </c>
      <c r="F1074" s="4" t="s">
        <v>17</v>
      </c>
      <c r="G1074" s="4" t="s">
        <v>16</v>
      </c>
      <c r="H1074" s="8" t="s">
        <v>1758</v>
      </c>
      <c r="I1074" s="4" t="s">
        <v>1759</v>
      </c>
      <c r="J1074" s="4" t="s">
        <v>22</v>
      </c>
      <c r="K1074" s="4" t="s">
        <v>179</v>
      </c>
      <c r="L1074" s="4" t="s">
        <v>72</v>
      </c>
    </row>
    <row r="1075" spans="1:12">
      <c r="A1075" s="5" t="s">
        <v>1757</v>
      </c>
      <c r="B1075" s="20">
        <v>1231</v>
      </c>
      <c r="C1075" s="9">
        <v>214</v>
      </c>
      <c r="D1075" s="9">
        <v>20</v>
      </c>
      <c r="E1075" s="9" t="s">
        <v>6</v>
      </c>
      <c r="F1075" s="6" t="s">
        <v>17</v>
      </c>
      <c r="G1075" s="6" t="s">
        <v>16</v>
      </c>
      <c r="H1075" s="9" t="s">
        <v>1760</v>
      </c>
      <c r="I1075" s="6" t="s">
        <v>1761</v>
      </c>
      <c r="J1075" s="6" t="s">
        <v>19</v>
      </c>
      <c r="K1075" s="6" t="s">
        <v>108</v>
      </c>
      <c r="L1075" s="6" t="s">
        <v>35</v>
      </c>
    </row>
    <row r="1076" spans="1:12">
      <c r="A1076" s="3" t="s">
        <v>1081</v>
      </c>
      <c r="B1076" s="19">
        <v>1217</v>
      </c>
      <c r="C1076" s="8">
        <v>151</v>
      </c>
      <c r="D1076" s="8">
        <v>3</v>
      </c>
      <c r="E1076" s="8" t="s">
        <v>10</v>
      </c>
      <c r="F1076" s="4" t="s">
        <v>34</v>
      </c>
      <c r="G1076" s="4" t="s">
        <v>12</v>
      </c>
      <c r="H1076" s="8" t="s">
        <v>1082</v>
      </c>
      <c r="I1076" s="4" t="s">
        <v>1083</v>
      </c>
      <c r="J1076" s="4" t="s">
        <v>19</v>
      </c>
      <c r="K1076" s="4" t="s">
        <v>126</v>
      </c>
      <c r="L1076" s="4" t="s">
        <v>45</v>
      </c>
    </row>
    <row r="1077" spans="1:12">
      <c r="A1077" s="3" t="s">
        <v>1093</v>
      </c>
      <c r="B1077" s="19">
        <v>1167</v>
      </c>
      <c r="C1077" s="8">
        <v>463</v>
      </c>
      <c r="D1077" s="8">
        <v>5</v>
      </c>
      <c r="E1077" s="8" t="s">
        <v>14</v>
      </c>
      <c r="F1077" s="4" t="s">
        <v>44</v>
      </c>
      <c r="G1077" s="4" t="s">
        <v>23</v>
      </c>
      <c r="H1077" s="8" t="s">
        <v>1094</v>
      </c>
      <c r="I1077" s="4" t="s">
        <v>1095</v>
      </c>
      <c r="J1077" s="4" t="s">
        <v>25</v>
      </c>
      <c r="K1077" s="4" t="s">
        <v>111</v>
      </c>
      <c r="L1077" s="4" t="s">
        <v>80</v>
      </c>
    </row>
    <row r="1078" spans="1:12">
      <c r="A1078" s="5" t="s">
        <v>1191</v>
      </c>
      <c r="B1078" s="20">
        <v>1166</v>
      </c>
      <c r="C1078" s="9">
        <v>520</v>
      </c>
      <c r="D1078" s="9">
        <v>12</v>
      </c>
      <c r="E1078" s="9" t="s">
        <v>14</v>
      </c>
      <c r="F1078" s="6" t="s">
        <v>42</v>
      </c>
      <c r="G1078" s="6" t="s">
        <v>16</v>
      </c>
      <c r="H1078" s="11">
        <v>45542</v>
      </c>
      <c r="I1078" s="6" t="s">
        <v>1192</v>
      </c>
      <c r="J1078" s="6" t="s">
        <v>7</v>
      </c>
      <c r="K1078" s="6" t="s">
        <v>205</v>
      </c>
      <c r="L1078" s="6" t="s">
        <v>90</v>
      </c>
    </row>
    <row r="1079" spans="1:12">
      <c r="A1079" s="3" t="s">
        <v>923</v>
      </c>
      <c r="B1079" s="19">
        <v>1166</v>
      </c>
      <c r="C1079" s="8">
        <v>349</v>
      </c>
      <c r="D1079" s="8">
        <v>11</v>
      </c>
      <c r="E1079" s="8" t="s">
        <v>10</v>
      </c>
      <c r="F1079" s="4" t="s">
        <v>34</v>
      </c>
      <c r="G1079" s="4" t="s">
        <v>12</v>
      </c>
      <c r="H1079" s="8" t="s">
        <v>924</v>
      </c>
      <c r="I1079" s="4" t="s">
        <v>925</v>
      </c>
      <c r="J1079" s="4" t="s">
        <v>11</v>
      </c>
      <c r="K1079" s="4" t="s">
        <v>156</v>
      </c>
      <c r="L1079" s="4" t="s">
        <v>88</v>
      </c>
    </row>
    <row r="1080" spans="1:12">
      <c r="A1080" s="5" t="s">
        <v>923</v>
      </c>
      <c r="B1080" s="20">
        <v>1166</v>
      </c>
      <c r="C1080" s="9">
        <v>349</v>
      </c>
      <c r="D1080" s="9">
        <v>11</v>
      </c>
      <c r="E1080" s="9" t="s">
        <v>10</v>
      </c>
      <c r="F1080" s="6" t="s">
        <v>34</v>
      </c>
      <c r="G1080" s="6" t="s">
        <v>12</v>
      </c>
      <c r="H1080" s="9" t="s">
        <v>926</v>
      </c>
      <c r="I1080" s="6" t="s">
        <v>927</v>
      </c>
      <c r="J1080" s="6" t="s">
        <v>11</v>
      </c>
      <c r="K1080" s="6" t="s">
        <v>136</v>
      </c>
      <c r="L1080" s="6" t="s">
        <v>33</v>
      </c>
    </row>
    <row r="1081" spans="1:12">
      <c r="A1081" s="5" t="s">
        <v>662</v>
      </c>
      <c r="B1081" s="20">
        <v>1165</v>
      </c>
      <c r="C1081" s="9">
        <v>51</v>
      </c>
      <c r="D1081" s="9">
        <v>3</v>
      </c>
      <c r="E1081" s="9" t="s">
        <v>14</v>
      </c>
      <c r="F1081" s="6" t="s">
        <v>44</v>
      </c>
      <c r="G1081" s="6" t="s">
        <v>20</v>
      </c>
      <c r="H1081" s="9" t="s">
        <v>663</v>
      </c>
      <c r="I1081" s="6" t="s">
        <v>664</v>
      </c>
      <c r="J1081" s="6" t="s">
        <v>11</v>
      </c>
      <c r="K1081" s="6" t="s">
        <v>120</v>
      </c>
      <c r="L1081" s="6" t="s">
        <v>50</v>
      </c>
    </row>
    <row r="1082" spans="1:12">
      <c r="A1082" s="5" t="s">
        <v>665</v>
      </c>
      <c r="B1082" s="20">
        <v>1165</v>
      </c>
      <c r="C1082" s="9">
        <v>302</v>
      </c>
      <c r="D1082" s="9">
        <v>20</v>
      </c>
      <c r="E1082" s="9" t="s">
        <v>10</v>
      </c>
      <c r="F1082" s="6" t="s">
        <v>32</v>
      </c>
      <c r="G1082" s="6" t="s">
        <v>23</v>
      </c>
      <c r="H1082" s="9" t="s">
        <v>666</v>
      </c>
      <c r="I1082" s="6" t="s">
        <v>667</v>
      </c>
      <c r="J1082" s="6" t="s">
        <v>15</v>
      </c>
      <c r="K1082" s="6" t="s">
        <v>171</v>
      </c>
      <c r="L1082" s="6" t="s">
        <v>69</v>
      </c>
    </row>
    <row r="1083" spans="1:12">
      <c r="A1083" s="3" t="s">
        <v>665</v>
      </c>
      <c r="B1083" s="19">
        <v>1165</v>
      </c>
      <c r="C1083" s="8">
        <v>302</v>
      </c>
      <c r="D1083" s="8">
        <v>20</v>
      </c>
      <c r="E1083" s="8" t="s">
        <v>10</v>
      </c>
      <c r="F1083" s="4" t="s">
        <v>32</v>
      </c>
      <c r="G1083" s="4" t="s">
        <v>23</v>
      </c>
      <c r="H1083" s="8" t="s">
        <v>668</v>
      </c>
      <c r="I1083" s="4" t="s">
        <v>669</v>
      </c>
      <c r="J1083" s="4" t="s">
        <v>7</v>
      </c>
      <c r="K1083" s="4" t="s">
        <v>124</v>
      </c>
      <c r="L1083" s="4" t="s">
        <v>43</v>
      </c>
    </row>
    <row r="1084" spans="1:12">
      <c r="A1084" s="3" t="s">
        <v>309</v>
      </c>
      <c r="B1084" s="19">
        <v>1156</v>
      </c>
      <c r="C1084" s="8">
        <v>74</v>
      </c>
      <c r="D1084" s="8">
        <v>15</v>
      </c>
      <c r="E1084" s="8" t="s">
        <v>6</v>
      </c>
      <c r="F1084" s="4" t="s">
        <v>24</v>
      </c>
      <c r="G1084" s="4" t="s">
        <v>20</v>
      </c>
      <c r="H1084" s="8" t="s">
        <v>310</v>
      </c>
      <c r="I1084" s="4" t="s">
        <v>311</v>
      </c>
      <c r="J1084" s="4" t="s">
        <v>25</v>
      </c>
      <c r="K1084" s="4" t="s">
        <v>253</v>
      </c>
      <c r="L1084" s="4" t="s">
        <v>57</v>
      </c>
    </row>
    <row r="1085" spans="1:12">
      <c r="A1085" s="3" t="s">
        <v>1304</v>
      </c>
      <c r="B1085" s="19">
        <v>1150</v>
      </c>
      <c r="C1085" s="8">
        <v>58</v>
      </c>
      <c r="D1085" s="8">
        <v>7</v>
      </c>
      <c r="E1085" s="8" t="s">
        <v>14</v>
      </c>
      <c r="F1085" s="4" t="s">
        <v>38</v>
      </c>
      <c r="G1085" s="4" t="s">
        <v>16</v>
      </c>
      <c r="H1085" s="8" t="s">
        <v>762</v>
      </c>
      <c r="I1085" s="4" t="s">
        <v>1305</v>
      </c>
      <c r="J1085" s="4" t="s">
        <v>19</v>
      </c>
      <c r="K1085" s="4" t="s">
        <v>126</v>
      </c>
      <c r="L1085" s="4" t="s">
        <v>58</v>
      </c>
    </row>
    <row r="1086" spans="1:12">
      <c r="A1086" s="5" t="s">
        <v>1762</v>
      </c>
      <c r="B1086" s="20">
        <v>1146</v>
      </c>
      <c r="C1086" s="9">
        <v>188</v>
      </c>
      <c r="D1086" s="9">
        <v>9</v>
      </c>
      <c r="E1086" s="9" t="s">
        <v>10</v>
      </c>
      <c r="F1086" s="6" t="s">
        <v>30</v>
      </c>
      <c r="G1086" s="6" t="s">
        <v>16</v>
      </c>
      <c r="H1086" s="9" t="s">
        <v>1763</v>
      </c>
      <c r="I1086" s="6" t="s">
        <v>1764</v>
      </c>
      <c r="J1086" s="6" t="s">
        <v>11</v>
      </c>
      <c r="K1086" s="6" t="s">
        <v>136</v>
      </c>
      <c r="L1086" s="6" t="s">
        <v>94</v>
      </c>
    </row>
    <row r="1087" spans="1:12">
      <c r="A1087" s="5" t="s">
        <v>991</v>
      </c>
      <c r="B1087" s="20">
        <v>1133</v>
      </c>
      <c r="C1087" s="9">
        <v>73</v>
      </c>
      <c r="D1087" s="9">
        <v>17</v>
      </c>
      <c r="E1087" s="9" t="s">
        <v>10</v>
      </c>
      <c r="F1087" s="6" t="s">
        <v>30</v>
      </c>
      <c r="G1087" s="6" t="s">
        <v>23</v>
      </c>
      <c r="H1087" s="9" t="s">
        <v>992</v>
      </c>
      <c r="I1087" s="6" t="s">
        <v>993</v>
      </c>
      <c r="J1087" s="6" t="s">
        <v>22</v>
      </c>
      <c r="K1087" s="6" t="s">
        <v>117</v>
      </c>
      <c r="L1087" s="6" t="s">
        <v>73</v>
      </c>
    </row>
    <row r="1088" spans="1:12">
      <c r="A1088" s="3" t="s">
        <v>991</v>
      </c>
      <c r="B1088" s="19">
        <v>1133</v>
      </c>
      <c r="C1088" s="8">
        <v>73</v>
      </c>
      <c r="D1088" s="8">
        <v>17</v>
      </c>
      <c r="E1088" s="8" t="s">
        <v>10</v>
      </c>
      <c r="F1088" s="4" t="s">
        <v>30</v>
      </c>
      <c r="G1088" s="4" t="s">
        <v>23</v>
      </c>
      <c r="H1088" s="10">
        <v>45449</v>
      </c>
      <c r="I1088" s="4" t="s">
        <v>994</v>
      </c>
      <c r="J1088" s="4" t="s">
        <v>7</v>
      </c>
      <c r="K1088" s="4" t="s">
        <v>162</v>
      </c>
      <c r="L1088" s="4" t="s">
        <v>89</v>
      </c>
    </row>
    <row r="1089" spans="1:12">
      <c r="A1089" s="5" t="s">
        <v>1765</v>
      </c>
      <c r="B1089" s="20">
        <v>1126</v>
      </c>
      <c r="C1089" s="9">
        <v>55</v>
      </c>
      <c r="D1089" s="9">
        <v>1</v>
      </c>
      <c r="E1089" s="9" t="s">
        <v>10</v>
      </c>
      <c r="F1089" s="6" t="s">
        <v>28</v>
      </c>
      <c r="G1089" s="6" t="s">
        <v>23</v>
      </c>
      <c r="H1089" s="9" t="s">
        <v>771</v>
      </c>
      <c r="I1089" s="6" t="s">
        <v>1766</v>
      </c>
      <c r="J1089" s="6" t="s">
        <v>11</v>
      </c>
      <c r="K1089" s="6" t="s">
        <v>136</v>
      </c>
      <c r="L1089" s="6" t="s">
        <v>60</v>
      </c>
    </row>
    <row r="1090" spans="1:12">
      <c r="A1090" s="3" t="s">
        <v>1765</v>
      </c>
      <c r="B1090" s="19">
        <v>1126</v>
      </c>
      <c r="C1090" s="8">
        <v>55</v>
      </c>
      <c r="D1090" s="8">
        <v>1</v>
      </c>
      <c r="E1090" s="8" t="s">
        <v>10</v>
      </c>
      <c r="F1090" s="4" t="s">
        <v>28</v>
      </c>
      <c r="G1090" s="4" t="s">
        <v>23</v>
      </c>
      <c r="H1090" s="8" t="s">
        <v>1767</v>
      </c>
      <c r="I1090" s="4" t="s">
        <v>1768</v>
      </c>
      <c r="J1090" s="4" t="s">
        <v>19</v>
      </c>
      <c r="K1090" s="4" t="s">
        <v>126</v>
      </c>
      <c r="L1090" s="4" t="s">
        <v>71</v>
      </c>
    </row>
    <row r="1091" spans="1:12">
      <c r="A1091" s="5" t="s">
        <v>1769</v>
      </c>
      <c r="B1091" s="20">
        <v>1109</v>
      </c>
      <c r="C1091" s="9">
        <v>418</v>
      </c>
      <c r="D1091" s="9">
        <v>15</v>
      </c>
      <c r="E1091" s="9" t="s">
        <v>14</v>
      </c>
      <c r="F1091" s="6" t="s">
        <v>42</v>
      </c>
      <c r="G1091" s="6" t="s">
        <v>23</v>
      </c>
      <c r="H1091" s="9" t="s">
        <v>1770</v>
      </c>
      <c r="I1091" s="6" t="s">
        <v>1771</v>
      </c>
      <c r="J1091" s="6" t="s">
        <v>7</v>
      </c>
      <c r="K1091" s="6" t="s">
        <v>205</v>
      </c>
      <c r="L1091" s="6" t="s">
        <v>55</v>
      </c>
    </row>
    <row r="1092" spans="1:12">
      <c r="A1092" s="3" t="s">
        <v>219</v>
      </c>
      <c r="B1092" s="19">
        <v>1108</v>
      </c>
      <c r="C1092" s="8">
        <v>167</v>
      </c>
      <c r="D1092" s="8">
        <v>18</v>
      </c>
      <c r="E1092" s="8" t="s">
        <v>6</v>
      </c>
      <c r="F1092" s="4" t="s">
        <v>17</v>
      </c>
      <c r="G1092" s="4" t="s">
        <v>16</v>
      </c>
      <c r="H1092" s="10">
        <v>45841</v>
      </c>
      <c r="I1092" s="4" t="s">
        <v>220</v>
      </c>
      <c r="J1092" s="4" t="s">
        <v>15</v>
      </c>
      <c r="K1092" s="4" t="s">
        <v>171</v>
      </c>
      <c r="L1092" s="4" t="s">
        <v>98</v>
      </c>
    </row>
    <row r="1093" spans="1:12">
      <c r="A1093" s="5" t="s">
        <v>1603</v>
      </c>
      <c r="B1093" s="20">
        <v>1093</v>
      </c>
      <c r="C1093" s="9">
        <v>397</v>
      </c>
      <c r="D1093" s="9">
        <v>17</v>
      </c>
      <c r="E1093" s="9" t="s">
        <v>6</v>
      </c>
      <c r="F1093" s="6" t="s">
        <v>24</v>
      </c>
      <c r="G1093" s="6" t="s">
        <v>12</v>
      </c>
      <c r="H1093" s="9" t="s">
        <v>1427</v>
      </c>
      <c r="I1093" s="6" t="s">
        <v>1604</v>
      </c>
      <c r="J1093" s="6" t="s">
        <v>15</v>
      </c>
      <c r="K1093" s="6" t="s">
        <v>235</v>
      </c>
      <c r="L1093" s="6" t="s">
        <v>86</v>
      </c>
    </row>
    <row r="1094" spans="1:12">
      <c r="A1094" s="3" t="s">
        <v>1603</v>
      </c>
      <c r="B1094" s="19">
        <v>1093</v>
      </c>
      <c r="C1094" s="8">
        <v>397</v>
      </c>
      <c r="D1094" s="8">
        <v>17</v>
      </c>
      <c r="E1094" s="8" t="s">
        <v>6</v>
      </c>
      <c r="F1094" s="4" t="s">
        <v>24</v>
      </c>
      <c r="G1094" s="4" t="s">
        <v>12</v>
      </c>
      <c r="H1094" s="10">
        <v>45300</v>
      </c>
      <c r="I1094" s="4" t="s">
        <v>1605</v>
      </c>
      <c r="J1094" s="4" t="s">
        <v>19</v>
      </c>
      <c r="K1094" s="4" t="s">
        <v>126</v>
      </c>
      <c r="L1094" s="4" t="s">
        <v>92</v>
      </c>
    </row>
    <row r="1095" spans="1:12">
      <c r="A1095" s="5" t="s">
        <v>1603</v>
      </c>
      <c r="B1095" s="20">
        <v>1093</v>
      </c>
      <c r="C1095" s="9">
        <v>397</v>
      </c>
      <c r="D1095" s="9">
        <v>17</v>
      </c>
      <c r="E1095" s="9" t="s">
        <v>6</v>
      </c>
      <c r="F1095" s="6" t="s">
        <v>24</v>
      </c>
      <c r="G1095" s="6" t="s">
        <v>12</v>
      </c>
      <c r="H1095" s="9" t="s">
        <v>1606</v>
      </c>
      <c r="I1095" s="6" t="s">
        <v>1607</v>
      </c>
      <c r="J1095" s="6" t="s">
        <v>22</v>
      </c>
      <c r="K1095" s="6" t="s">
        <v>179</v>
      </c>
      <c r="L1095" s="6" t="s">
        <v>61</v>
      </c>
    </row>
    <row r="1096" spans="1:12">
      <c r="A1096" s="5" t="s">
        <v>845</v>
      </c>
      <c r="B1096" s="20">
        <v>1091</v>
      </c>
      <c r="C1096" s="9">
        <v>277</v>
      </c>
      <c r="D1096" s="9">
        <v>6</v>
      </c>
      <c r="E1096" s="9" t="s">
        <v>14</v>
      </c>
      <c r="F1096" s="6" t="s">
        <v>42</v>
      </c>
      <c r="G1096" s="6" t="s">
        <v>8</v>
      </c>
      <c r="H1096" s="9" t="s">
        <v>225</v>
      </c>
      <c r="I1096" s="6" t="s">
        <v>846</v>
      </c>
      <c r="J1096" s="6" t="s">
        <v>22</v>
      </c>
      <c r="K1096" s="6" t="s">
        <v>223</v>
      </c>
      <c r="L1096" s="6" t="s">
        <v>71</v>
      </c>
    </row>
    <row r="1097" spans="1:12">
      <c r="A1097" s="5" t="s">
        <v>1772</v>
      </c>
      <c r="B1097" s="20">
        <v>1089</v>
      </c>
      <c r="C1097" s="9">
        <v>176</v>
      </c>
      <c r="D1097" s="9">
        <v>16</v>
      </c>
      <c r="E1097" s="9" t="s">
        <v>14</v>
      </c>
      <c r="F1097" s="6" t="s">
        <v>40</v>
      </c>
      <c r="G1097" s="6" t="s">
        <v>20</v>
      </c>
      <c r="H1097" s="9" t="s">
        <v>1773</v>
      </c>
      <c r="I1097" s="6" t="s">
        <v>1774</v>
      </c>
      <c r="J1097" s="6" t="s">
        <v>25</v>
      </c>
      <c r="K1097" s="6" t="s">
        <v>129</v>
      </c>
      <c r="L1097" s="6" t="s">
        <v>43</v>
      </c>
    </row>
    <row r="1098" spans="1:12">
      <c r="A1098" s="5" t="s">
        <v>1775</v>
      </c>
      <c r="B1098" s="20">
        <v>1085</v>
      </c>
      <c r="C1098" s="9">
        <v>301</v>
      </c>
      <c r="D1098" s="9">
        <v>20</v>
      </c>
      <c r="E1098" s="9" t="s">
        <v>10</v>
      </c>
      <c r="F1098" s="6" t="s">
        <v>28</v>
      </c>
      <c r="G1098" s="6" t="s">
        <v>23</v>
      </c>
      <c r="H1098" s="9" t="s">
        <v>1776</v>
      </c>
      <c r="I1098" s="6" t="s">
        <v>1777</v>
      </c>
      <c r="J1098" s="6" t="s">
        <v>19</v>
      </c>
      <c r="K1098" s="6" t="s">
        <v>126</v>
      </c>
      <c r="L1098" s="6" t="s">
        <v>90</v>
      </c>
    </row>
    <row r="1099" spans="1:12">
      <c r="A1099" s="3" t="s">
        <v>1778</v>
      </c>
      <c r="B1099" s="19">
        <v>1083</v>
      </c>
      <c r="C1099" s="8">
        <v>501</v>
      </c>
      <c r="D1099" s="8">
        <v>6</v>
      </c>
      <c r="E1099" s="8" t="s">
        <v>14</v>
      </c>
      <c r="F1099" s="4" t="s">
        <v>44</v>
      </c>
      <c r="G1099" s="4" t="s">
        <v>8</v>
      </c>
      <c r="H1099" s="8" t="s">
        <v>1779</v>
      </c>
      <c r="I1099" s="4" t="s">
        <v>1780</v>
      </c>
      <c r="J1099" s="4" t="s">
        <v>25</v>
      </c>
      <c r="K1099" s="4" t="s">
        <v>111</v>
      </c>
      <c r="L1099" s="4" t="s">
        <v>49</v>
      </c>
    </row>
    <row r="1100" spans="1:12">
      <c r="A1100" s="3" t="s">
        <v>1781</v>
      </c>
      <c r="B1100" s="19">
        <v>1078</v>
      </c>
      <c r="C1100" s="8">
        <v>309</v>
      </c>
      <c r="D1100" s="8">
        <v>3</v>
      </c>
      <c r="E1100" s="8" t="s">
        <v>6</v>
      </c>
      <c r="F1100" s="4" t="s">
        <v>21</v>
      </c>
      <c r="G1100" s="4" t="s">
        <v>12</v>
      </c>
      <c r="H1100" s="10">
        <v>44629</v>
      </c>
      <c r="I1100" s="4" t="s">
        <v>1782</v>
      </c>
      <c r="J1100" s="4" t="s">
        <v>22</v>
      </c>
      <c r="K1100" s="4" t="s">
        <v>117</v>
      </c>
      <c r="L1100" s="4" t="s">
        <v>68</v>
      </c>
    </row>
    <row r="1101" spans="1:12">
      <c r="A1101" s="5" t="s">
        <v>1781</v>
      </c>
      <c r="B1101" s="20">
        <v>1078</v>
      </c>
      <c r="C1101" s="9">
        <v>309</v>
      </c>
      <c r="D1101" s="9">
        <v>3</v>
      </c>
      <c r="E1101" s="9" t="s">
        <v>6</v>
      </c>
      <c r="F1101" s="6" t="s">
        <v>21</v>
      </c>
      <c r="G1101" s="6" t="s">
        <v>12</v>
      </c>
      <c r="H1101" s="11">
        <v>43840</v>
      </c>
      <c r="I1101" s="6" t="s">
        <v>1783</v>
      </c>
      <c r="J1101" s="6" t="s">
        <v>15</v>
      </c>
      <c r="K1101" s="6" t="s">
        <v>132</v>
      </c>
      <c r="L1101" s="6" t="s">
        <v>43</v>
      </c>
    </row>
    <row r="1102" spans="1:12">
      <c r="A1102" s="5" t="s">
        <v>596</v>
      </c>
      <c r="B1102" s="20">
        <v>1067</v>
      </c>
      <c r="C1102" s="9">
        <v>251</v>
      </c>
      <c r="D1102" s="9">
        <v>14</v>
      </c>
      <c r="E1102" s="9" t="s">
        <v>10</v>
      </c>
      <c r="F1102" s="6" t="s">
        <v>32</v>
      </c>
      <c r="G1102" s="6" t="s">
        <v>20</v>
      </c>
      <c r="H1102" s="9" t="s">
        <v>597</v>
      </c>
      <c r="I1102" s="6" t="s">
        <v>598</v>
      </c>
      <c r="J1102" s="6" t="s">
        <v>19</v>
      </c>
      <c r="K1102" s="6" t="s">
        <v>108</v>
      </c>
      <c r="L1102" s="6" t="s">
        <v>71</v>
      </c>
    </row>
    <row r="1103" spans="1:12">
      <c r="A1103" s="3" t="s">
        <v>596</v>
      </c>
      <c r="B1103" s="19">
        <v>1067</v>
      </c>
      <c r="C1103" s="8">
        <v>251</v>
      </c>
      <c r="D1103" s="8">
        <v>14</v>
      </c>
      <c r="E1103" s="8" t="s">
        <v>10</v>
      </c>
      <c r="F1103" s="4" t="s">
        <v>32</v>
      </c>
      <c r="G1103" s="4" t="s">
        <v>20</v>
      </c>
      <c r="H1103" s="10">
        <v>44842</v>
      </c>
      <c r="I1103" s="4" t="s">
        <v>599</v>
      </c>
      <c r="J1103" s="4" t="s">
        <v>15</v>
      </c>
      <c r="K1103" s="4" t="s">
        <v>235</v>
      </c>
      <c r="L1103" s="4" t="s">
        <v>67</v>
      </c>
    </row>
    <row r="1104" spans="1:12">
      <c r="A1104" s="3" t="s">
        <v>1652</v>
      </c>
      <c r="B1104" s="19">
        <v>1045</v>
      </c>
      <c r="C1104" s="8">
        <v>267</v>
      </c>
      <c r="D1104" s="8">
        <v>11</v>
      </c>
      <c r="E1104" s="8" t="s">
        <v>6</v>
      </c>
      <c r="F1104" s="4" t="s">
        <v>21</v>
      </c>
      <c r="G1104" s="4" t="s">
        <v>16</v>
      </c>
      <c r="H1104" s="10">
        <v>45021</v>
      </c>
      <c r="I1104" s="4" t="s">
        <v>1653</v>
      </c>
      <c r="J1104" s="4" t="s">
        <v>22</v>
      </c>
      <c r="K1104" s="4" t="s">
        <v>117</v>
      </c>
      <c r="L1104" s="4" t="s">
        <v>76</v>
      </c>
    </row>
    <row r="1105" spans="1:12">
      <c r="A1105" s="5" t="s">
        <v>1652</v>
      </c>
      <c r="B1105" s="20">
        <v>1045</v>
      </c>
      <c r="C1105" s="9">
        <v>267</v>
      </c>
      <c r="D1105" s="9">
        <v>11</v>
      </c>
      <c r="E1105" s="9" t="s">
        <v>6</v>
      </c>
      <c r="F1105" s="6" t="s">
        <v>21</v>
      </c>
      <c r="G1105" s="6" t="s">
        <v>16</v>
      </c>
      <c r="H1105" s="9" t="s">
        <v>1654</v>
      </c>
      <c r="I1105" s="6" t="s">
        <v>1655</v>
      </c>
      <c r="J1105" s="6" t="s">
        <v>7</v>
      </c>
      <c r="K1105" s="6" t="s">
        <v>205</v>
      </c>
      <c r="L1105" s="6" t="s">
        <v>31</v>
      </c>
    </row>
    <row r="1106" spans="1:12">
      <c r="A1106" s="3" t="s">
        <v>1652</v>
      </c>
      <c r="B1106" s="19">
        <v>1045</v>
      </c>
      <c r="C1106" s="8">
        <v>267</v>
      </c>
      <c r="D1106" s="8">
        <v>11</v>
      </c>
      <c r="E1106" s="8" t="s">
        <v>6</v>
      </c>
      <c r="F1106" s="4" t="s">
        <v>21</v>
      </c>
      <c r="G1106" s="4" t="s">
        <v>16</v>
      </c>
      <c r="H1106" s="8" t="s">
        <v>1656</v>
      </c>
      <c r="I1106" s="4" t="s">
        <v>1657</v>
      </c>
      <c r="J1106" s="4" t="s">
        <v>19</v>
      </c>
      <c r="K1106" s="4" t="s">
        <v>108</v>
      </c>
      <c r="L1106" s="4" t="s">
        <v>55</v>
      </c>
    </row>
    <row r="1107" spans="1:12">
      <c r="A1107" s="3" t="s">
        <v>1784</v>
      </c>
      <c r="B1107" s="19">
        <v>1033</v>
      </c>
      <c r="C1107" s="8">
        <v>254</v>
      </c>
      <c r="D1107" s="8">
        <v>5</v>
      </c>
      <c r="E1107" s="8" t="s">
        <v>10</v>
      </c>
      <c r="F1107" s="4" t="s">
        <v>28</v>
      </c>
      <c r="G1107" s="4" t="s">
        <v>8</v>
      </c>
      <c r="H1107" s="8" t="s">
        <v>1785</v>
      </c>
      <c r="I1107" s="4" t="s">
        <v>1786</v>
      </c>
      <c r="J1107" s="4" t="s">
        <v>19</v>
      </c>
      <c r="K1107" s="4" t="s">
        <v>108</v>
      </c>
      <c r="L1107" s="4" t="s">
        <v>39</v>
      </c>
    </row>
    <row r="1108" spans="1:12">
      <c r="A1108" s="5" t="s">
        <v>518</v>
      </c>
      <c r="B1108" s="20">
        <v>1031</v>
      </c>
      <c r="C1108" s="9">
        <v>318</v>
      </c>
      <c r="D1108" s="9">
        <v>20</v>
      </c>
      <c r="E1108" s="9" t="s">
        <v>6</v>
      </c>
      <c r="F1108" s="6" t="s">
        <v>13</v>
      </c>
      <c r="G1108" s="6" t="s">
        <v>23</v>
      </c>
      <c r="H1108" s="9" t="s">
        <v>519</v>
      </c>
      <c r="I1108" s="6" t="s">
        <v>520</v>
      </c>
      <c r="J1108" s="6" t="s">
        <v>11</v>
      </c>
      <c r="K1108" s="6" t="s">
        <v>136</v>
      </c>
      <c r="L1108" s="6" t="s">
        <v>64</v>
      </c>
    </row>
    <row r="1109" spans="1:12">
      <c r="A1109" s="3" t="s">
        <v>719</v>
      </c>
      <c r="B1109" s="19">
        <v>1023</v>
      </c>
      <c r="C1109" s="8">
        <v>78</v>
      </c>
      <c r="D1109" s="8">
        <v>9</v>
      </c>
      <c r="E1109" s="8" t="s">
        <v>10</v>
      </c>
      <c r="F1109" s="4" t="s">
        <v>34</v>
      </c>
      <c r="G1109" s="4" t="s">
        <v>23</v>
      </c>
      <c r="H1109" s="10">
        <v>43926</v>
      </c>
      <c r="I1109" s="4" t="s">
        <v>720</v>
      </c>
      <c r="J1109" s="4" t="s">
        <v>11</v>
      </c>
      <c r="K1109" s="4" t="s">
        <v>120</v>
      </c>
      <c r="L1109" s="4" t="s">
        <v>33</v>
      </c>
    </row>
    <row r="1110" spans="1:12">
      <c r="A1110" s="3" t="s">
        <v>1081</v>
      </c>
      <c r="B1110" s="19">
        <v>1016</v>
      </c>
      <c r="C1110" s="8">
        <v>172</v>
      </c>
      <c r="D1110" s="8">
        <v>20</v>
      </c>
      <c r="E1110" s="8" t="s">
        <v>10</v>
      </c>
      <c r="F1110" s="4" t="s">
        <v>34</v>
      </c>
      <c r="G1110" s="4" t="s">
        <v>16</v>
      </c>
      <c r="H1110" s="8" t="s">
        <v>1082</v>
      </c>
      <c r="I1110" s="4" t="s">
        <v>1083</v>
      </c>
      <c r="J1110" s="4" t="s">
        <v>19</v>
      </c>
      <c r="K1110" s="4" t="s">
        <v>126</v>
      </c>
      <c r="L1110" s="4" t="s">
        <v>45</v>
      </c>
    </row>
    <row r="1111" spans="1:12">
      <c r="A1111" s="5" t="s">
        <v>1787</v>
      </c>
      <c r="B1111" s="20">
        <v>1010</v>
      </c>
      <c r="C1111" s="9">
        <v>58</v>
      </c>
      <c r="D1111" s="9">
        <v>19</v>
      </c>
      <c r="E1111" s="9" t="s">
        <v>6</v>
      </c>
      <c r="F1111" s="6" t="s">
        <v>13</v>
      </c>
      <c r="G1111" s="6" t="s">
        <v>8</v>
      </c>
      <c r="H1111" s="9" t="s">
        <v>1788</v>
      </c>
      <c r="I1111" s="6" t="s">
        <v>1789</v>
      </c>
      <c r="J1111" s="6" t="s">
        <v>11</v>
      </c>
      <c r="K1111" s="6" t="s">
        <v>136</v>
      </c>
      <c r="L1111" s="6" t="s">
        <v>98</v>
      </c>
    </row>
    <row r="1112" spans="1:12">
      <c r="A1112" s="3" t="s">
        <v>692</v>
      </c>
      <c r="B1112" s="19">
        <v>992</v>
      </c>
      <c r="C1112" s="8">
        <v>64</v>
      </c>
      <c r="D1112" s="8">
        <v>6</v>
      </c>
      <c r="E1112" s="8" t="s">
        <v>6</v>
      </c>
      <c r="F1112" s="4" t="s">
        <v>21</v>
      </c>
      <c r="G1112" s="4" t="s">
        <v>12</v>
      </c>
      <c r="H1112" s="10">
        <v>43866</v>
      </c>
      <c r="I1112" s="4" t="s">
        <v>693</v>
      </c>
      <c r="J1112" s="4" t="s">
        <v>22</v>
      </c>
      <c r="K1112" s="4" t="s">
        <v>223</v>
      </c>
      <c r="L1112" s="4" t="s">
        <v>33</v>
      </c>
    </row>
    <row r="1113" spans="1:12">
      <c r="A1113" s="5" t="s">
        <v>1279</v>
      </c>
      <c r="B1113" s="20">
        <v>992</v>
      </c>
      <c r="C1113" s="9">
        <v>177</v>
      </c>
      <c r="D1113" s="9">
        <v>6</v>
      </c>
      <c r="E1113" s="9" t="s">
        <v>6</v>
      </c>
      <c r="F1113" s="6" t="s">
        <v>21</v>
      </c>
      <c r="G1113" s="6" t="s">
        <v>23</v>
      </c>
      <c r="H1113" s="9" t="s">
        <v>1280</v>
      </c>
      <c r="I1113" s="6" t="s">
        <v>1281</v>
      </c>
      <c r="J1113" s="6" t="s">
        <v>7</v>
      </c>
      <c r="K1113" s="6" t="s">
        <v>205</v>
      </c>
      <c r="L1113" s="6" t="s">
        <v>84</v>
      </c>
    </row>
    <row r="1114" spans="1:12">
      <c r="A1114" s="3" t="s">
        <v>641</v>
      </c>
      <c r="B1114" s="19">
        <v>975</v>
      </c>
      <c r="C1114" s="8">
        <v>224</v>
      </c>
      <c r="D1114" s="8">
        <v>18</v>
      </c>
      <c r="E1114" s="8" t="s">
        <v>14</v>
      </c>
      <c r="F1114" s="4" t="s">
        <v>44</v>
      </c>
      <c r="G1114" s="4" t="s">
        <v>8</v>
      </c>
      <c r="H1114" s="8" t="s">
        <v>642</v>
      </c>
      <c r="I1114" s="4" t="s">
        <v>643</v>
      </c>
      <c r="J1114" s="4" t="s">
        <v>7</v>
      </c>
      <c r="K1114" s="4" t="s">
        <v>162</v>
      </c>
      <c r="L1114" s="4" t="s">
        <v>59</v>
      </c>
    </row>
    <row r="1115" spans="1:12">
      <c r="A1115" s="5" t="s">
        <v>1790</v>
      </c>
      <c r="B1115" s="20">
        <v>972</v>
      </c>
      <c r="C1115" s="9">
        <v>106</v>
      </c>
      <c r="D1115" s="9">
        <v>15</v>
      </c>
      <c r="E1115" s="9" t="s">
        <v>14</v>
      </c>
      <c r="F1115" s="6" t="s">
        <v>44</v>
      </c>
      <c r="G1115" s="6" t="s">
        <v>20</v>
      </c>
      <c r="H1115" s="11">
        <v>44717</v>
      </c>
      <c r="I1115" s="6" t="s">
        <v>1791</v>
      </c>
      <c r="J1115" s="6" t="s">
        <v>22</v>
      </c>
      <c r="K1115" s="6" t="s">
        <v>223</v>
      </c>
      <c r="L1115" s="6" t="s">
        <v>64</v>
      </c>
    </row>
    <row r="1116" spans="1:12">
      <c r="A1116" s="5" t="s">
        <v>1792</v>
      </c>
      <c r="B1116" s="20">
        <v>962</v>
      </c>
      <c r="C1116" s="9">
        <v>298</v>
      </c>
      <c r="D1116" s="9">
        <v>18</v>
      </c>
      <c r="E1116" s="9" t="s">
        <v>14</v>
      </c>
      <c r="F1116" s="6" t="s">
        <v>38</v>
      </c>
      <c r="G1116" s="6" t="s">
        <v>12</v>
      </c>
      <c r="H1116" s="9" t="s">
        <v>1793</v>
      </c>
      <c r="I1116" s="6" t="s">
        <v>1794</v>
      </c>
      <c r="J1116" s="6" t="s">
        <v>15</v>
      </c>
      <c r="K1116" s="6" t="s">
        <v>171</v>
      </c>
      <c r="L1116" s="6" t="s">
        <v>66</v>
      </c>
    </row>
    <row r="1117" spans="1:12">
      <c r="A1117" s="5" t="s">
        <v>783</v>
      </c>
      <c r="B1117" s="20">
        <v>953</v>
      </c>
      <c r="C1117" s="9">
        <v>93</v>
      </c>
      <c r="D1117" s="9">
        <v>2</v>
      </c>
      <c r="E1117" s="9" t="s">
        <v>14</v>
      </c>
      <c r="F1117" s="6" t="s">
        <v>42</v>
      </c>
      <c r="G1117" s="6" t="s">
        <v>16</v>
      </c>
      <c r="H1117" s="11">
        <v>45638</v>
      </c>
      <c r="I1117" s="6" t="s">
        <v>784</v>
      </c>
      <c r="J1117" s="6" t="s">
        <v>22</v>
      </c>
      <c r="K1117" s="6" t="s">
        <v>117</v>
      </c>
      <c r="L1117" s="6" t="s">
        <v>95</v>
      </c>
    </row>
    <row r="1118" spans="1:12">
      <c r="A1118" s="3" t="s">
        <v>783</v>
      </c>
      <c r="B1118" s="19">
        <v>953</v>
      </c>
      <c r="C1118" s="8">
        <v>93</v>
      </c>
      <c r="D1118" s="8">
        <v>2</v>
      </c>
      <c r="E1118" s="8" t="s">
        <v>14</v>
      </c>
      <c r="F1118" s="4" t="s">
        <v>42</v>
      </c>
      <c r="G1118" s="4" t="s">
        <v>16</v>
      </c>
      <c r="H1118" s="10">
        <v>45081</v>
      </c>
      <c r="I1118" s="4" t="s">
        <v>785</v>
      </c>
      <c r="J1118" s="4" t="s">
        <v>7</v>
      </c>
      <c r="K1118" s="4" t="s">
        <v>205</v>
      </c>
      <c r="L1118" s="4" t="s">
        <v>75</v>
      </c>
    </row>
    <row r="1119" spans="1:12">
      <c r="A1119" s="5" t="s">
        <v>871</v>
      </c>
      <c r="B1119" s="20">
        <v>949</v>
      </c>
      <c r="C1119" s="9">
        <v>301</v>
      </c>
      <c r="D1119" s="9">
        <v>9</v>
      </c>
      <c r="E1119" s="9" t="s">
        <v>14</v>
      </c>
      <c r="F1119" s="6" t="s">
        <v>38</v>
      </c>
      <c r="G1119" s="6" t="s">
        <v>23</v>
      </c>
      <c r="H1119" s="11">
        <v>45455</v>
      </c>
      <c r="I1119" s="6" t="s">
        <v>872</v>
      </c>
      <c r="J1119" s="6" t="s">
        <v>22</v>
      </c>
      <c r="K1119" s="6" t="s">
        <v>117</v>
      </c>
      <c r="L1119" s="6" t="s">
        <v>95</v>
      </c>
    </row>
    <row r="1120" spans="1:12">
      <c r="A1120" s="5" t="s">
        <v>665</v>
      </c>
      <c r="B1120" s="20">
        <v>916</v>
      </c>
      <c r="C1120" s="9">
        <v>362</v>
      </c>
      <c r="D1120" s="9">
        <v>7</v>
      </c>
      <c r="E1120" s="9" t="s">
        <v>14</v>
      </c>
      <c r="F1120" s="6" t="s">
        <v>44</v>
      </c>
      <c r="G1120" s="6" t="s">
        <v>23</v>
      </c>
      <c r="H1120" s="9" t="s">
        <v>666</v>
      </c>
      <c r="I1120" s="6" t="s">
        <v>667</v>
      </c>
      <c r="J1120" s="6" t="s">
        <v>15</v>
      </c>
      <c r="K1120" s="6" t="s">
        <v>171</v>
      </c>
      <c r="L1120" s="6" t="s">
        <v>69</v>
      </c>
    </row>
    <row r="1121" spans="1:12">
      <c r="A1121" s="3" t="s">
        <v>665</v>
      </c>
      <c r="B1121" s="19">
        <v>916</v>
      </c>
      <c r="C1121" s="8">
        <v>362</v>
      </c>
      <c r="D1121" s="8">
        <v>7</v>
      </c>
      <c r="E1121" s="8" t="s">
        <v>14</v>
      </c>
      <c r="F1121" s="4" t="s">
        <v>44</v>
      </c>
      <c r="G1121" s="4" t="s">
        <v>23</v>
      </c>
      <c r="H1121" s="8" t="s">
        <v>668</v>
      </c>
      <c r="I1121" s="4" t="s">
        <v>669</v>
      </c>
      <c r="J1121" s="4" t="s">
        <v>7</v>
      </c>
      <c r="K1121" s="4" t="s">
        <v>124</v>
      </c>
      <c r="L1121" s="4" t="s">
        <v>43</v>
      </c>
    </row>
    <row r="1122" spans="1:12">
      <c r="A1122" s="3" t="s">
        <v>1723</v>
      </c>
      <c r="B1122" s="19">
        <v>914</v>
      </c>
      <c r="C1122" s="8">
        <v>400</v>
      </c>
      <c r="D1122" s="8">
        <v>8</v>
      </c>
      <c r="E1122" s="8" t="s">
        <v>14</v>
      </c>
      <c r="F1122" s="4" t="s">
        <v>44</v>
      </c>
      <c r="G1122" s="4" t="s">
        <v>16</v>
      </c>
      <c r="H1122" s="10">
        <v>44256</v>
      </c>
      <c r="I1122" s="4" t="s">
        <v>1724</v>
      </c>
      <c r="J1122" s="4" t="s">
        <v>7</v>
      </c>
      <c r="K1122" s="4" t="s">
        <v>205</v>
      </c>
      <c r="L1122" s="4" t="s">
        <v>48</v>
      </c>
    </row>
    <row r="1123" spans="1:12">
      <c r="A1123" s="5" t="s">
        <v>1795</v>
      </c>
      <c r="B1123" s="20">
        <v>914</v>
      </c>
      <c r="C1123" s="9">
        <v>163</v>
      </c>
      <c r="D1123" s="9">
        <v>13</v>
      </c>
      <c r="E1123" s="9" t="s">
        <v>14</v>
      </c>
      <c r="F1123" s="6" t="s">
        <v>40</v>
      </c>
      <c r="G1123" s="6" t="s">
        <v>23</v>
      </c>
      <c r="H1123" s="9" t="s">
        <v>1796</v>
      </c>
      <c r="I1123" s="6" t="s">
        <v>1797</v>
      </c>
      <c r="J1123" s="6" t="s">
        <v>15</v>
      </c>
      <c r="K1123" s="6" t="s">
        <v>132</v>
      </c>
      <c r="L1123" s="6" t="s">
        <v>93</v>
      </c>
    </row>
    <row r="1124" spans="1:12">
      <c r="A1124" s="5" t="s">
        <v>700</v>
      </c>
      <c r="B1124" s="20">
        <v>912</v>
      </c>
      <c r="C1124" s="9">
        <v>246</v>
      </c>
      <c r="D1124" s="9">
        <v>2</v>
      </c>
      <c r="E1124" s="9" t="s">
        <v>10</v>
      </c>
      <c r="F1124" s="6" t="s">
        <v>32</v>
      </c>
      <c r="G1124" s="6" t="s">
        <v>20</v>
      </c>
      <c r="H1124" s="9" t="s">
        <v>701</v>
      </c>
      <c r="I1124" s="6" t="s">
        <v>702</v>
      </c>
      <c r="J1124" s="6" t="s">
        <v>19</v>
      </c>
      <c r="K1124" s="6" t="s">
        <v>108</v>
      </c>
      <c r="L1124" s="6" t="s">
        <v>81</v>
      </c>
    </row>
    <row r="1125" spans="1:12">
      <c r="A1125" s="5" t="s">
        <v>1798</v>
      </c>
      <c r="B1125" s="20">
        <v>907</v>
      </c>
      <c r="C1125" s="9">
        <v>391</v>
      </c>
      <c r="D1125" s="9">
        <v>9</v>
      </c>
      <c r="E1125" s="9" t="s">
        <v>14</v>
      </c>
      <c r="F1125" s="6" t="s">
        <v>44</v>
      </c>
      <c r="G1125" s="6" t="s">
        <v>12</v>
      </c>
      <c r="H1125" s="11">
        <v>45024</v>
      </c>
      <c r="I1125" s="6" t="s">
        <v>1799</v>
      </c>
      <c r="J1125" s="6" t="s">
        <v>19</v>
      </c>
      <c r="K1125" s="6" t="s">
        <v>210</v>
      </c>
      <c r="L1125" s="6" t="s">
        <v>79</v>
      </c>
    </row>
    <row r="1126" spans="1:12">
      <c r="A1126" s="3" t="s">
        <v>600</v>
      </c>
      <c r="B1126" s="19">
        <v>883</v>
      </c>
      <c r="C1126" s="8">
        <v>117</v>
      </c>
      <c r="D1126" s="8">
        <v>10</v>
      </c>
      <c r="E1126" s="8" t="s">
        <v>6</v>
      </c>
      <c r="F1126" s="4" t="s">
        <v>17</v>
      </c>
      <c r="G1126" s="4" t="s">
        <v>20</v>
      </c>
      <c r="H1126" s="8" t="s">
        <v>601</v>
      </c>
      <c r="I1126" s="4" t="s">
        <v>602</v>
      </c>
      <c r="J1126" s="4" t="s">
        <v>7</v>
      </c>
      <c r="K1126" s="4" t="s">
        <v>205</v>
      </c>
      <c r="L1126" s="4" t="s">
        <v>70</v>
      </c>
    </row>
    <row r="1127" spans="1:12">
      <c r="A1127" s="5" t="s">
        <v>266</v>
      </c>
      <c r="B1127" s="20">
        <v>883</v>
      </c>
      <c r="C1127" s="9">
        <v>127</v>
      </c>
      <c r="D1127" s="9">
        <v>7</v>
      </c>
      <c r="E1127" s="9" t="s">
        <v>10</v>
      </c>
      <c r="F1127" s="6" t="s">
        <v>30</v>
      </c>
      <c r="G1127" s="6" t="s">
        <v>8</v>
      </c>
      <c r="H1127" s="11">
        <v>45022</v>
      </c>
      <c r="I1127" s="6" t="s">
        <v>267</v>
      </c>
      <c r="J1127" s="6" t="s">
        <v>7</v>
      </c>
      <c r="K1127" s="6" t="s">
        <v>124</v>
      </c>
      <c r="L1127" s="6" t="s">
        <v>77</v>
      </c>
    </row>
    <row r="1128" spans="1:12">
      <c r="A1128" s="3" t="s">
        <v>1800</v>
      </c>
      <c r="B1128" s="19">
        <v>874</v>
      </c>
      <c r="C1128" s="8">
        <v>235</v>
      </c>
      <c r="D1128" s="8">
        <v>15</v>
      </c>
      <c r="E1128" s="8" t="s">
        <v>14</v>
      </c>
      <c r="F1128" s="4" t="s">
        <v>38</v>
      </c>
      <c r="G1128" s="4" t="s">
        <v>16</v>
      </c>
      <c r="H1128" s="8" t="s">
        <v>1801</v>
      </c>
      <c r="I1128" s="4" t="s">
        <v>1802</v>
      </c>
      <c r="J1128" s="4" t="s">
        <v>19</v>
      </c>
      <c r="K1128" s="4" t="s">
        <v>108</v>
      </c>
      <c r="L1128" s="4" t="s">
        <v>76</v>
      </c>
    </row>
    <row r="1129" spans="1:12">
      <c r="A1129" s="5" t="s">
        <v>1800</v>
      </c>
      <c r="B1129" s="20">
        <v>874</v>
      </c>
      <c r="C1129" s="9">
        <v>235</v>
      </c>
      <c r="D1129" s="9">
        <v>15</v>
      </c>
      <c r="E1129" s="9" t="s">
        <v>14</v>
      </c>
      <c r="F1129" s="6" t="s">
        <v>38</v>
      </c>
      <c r="G1129" s="6" t="s">
        <v>16</v>
      </c>
      <c r="H1129" s="11">
        <v>44292</v>
      </c>
      <c r="I1129" s="6" t="s">
        <v>1803</v>
      </c>
      <c r="J1129" s="6" t="s">
        <v>11</v>
      </c>
      <c r="K1129" s="6" t="s">
        <v>156</v>
      </c>
      <c r="L1129" s="6" t="s">
        <v>53</v>
      </c>
    </row>
    <row r="1130" spans="1:12">
      <c r="A1130" s="3" t="s">
        <v>1733</v>
      </c>
      <c r="B1130" s="19">
        <v>869</v>
      </c>
      <c r="C1130" s="8">
        <v>373</v>
      </c>
      <c r="D1130" s="8">
        <v>14</v>
      </c>
      <c r="E1130" s="8" t="s">
        <v>14</v>
      </c>
      <c r="F1130" s="4" t="s">
        <v>42</v>
      </c>
      <c r="G1130" s="4" t="s">
        <v>12</v>
      </c>
      <c r="H1130" s="10">
        <v>44415</v>
      </c>
      <c r="I1130" s="4" t="s">
        <v>1734</v>
      </c>
      <c r="J1130" s="4" t="s">
        <v>19</v>
      </c>
      <c r="K1130" s="4" t="s">
        <v>210</v>
      </c>
      <c r="L1130" s="4" t="s">
        <v>54</v>
      </c>
    </row>
    <row r="1131" spans="1:12">
      <c r="A1131" s="5" t="s">
        <v>1733</v>
      </c>
      <c r="B1131" s="20">
        <v>869</v>
      </c>
      <c r="C1131" s="9">
        <v>373</v>
      </c>
      <c r="D1131" s="9">
        <v>14</v>
      </c>
      <c r="E1131" s="9" t="s">
        <v>14</v>
      </c>
      <c r="F1131" s="6" t="s">
        <v>42</v>
      </c>
      <c r="G1131" s="6" t="s">
        <v>12</v>
      </c>
      <c r="H1131" s="11">
        <v>44047</v>
      </c>
      <c r="I1131" s="6" t="s">
        <v>1735</v>
      </c>
      <c r="J1131" s="6" t="s">
        <v>22</v>
      </c>
      <c r="K1131" s="6" t="s">
        <v>117</v>
      </c>
      <c r="L1131" s="6" t="s">
        <v>31</v>
      </c>
    </row>
    <row r="1132" spans="1:12">
      <c r="A1132" s="5" t="s">
        <v>369</v>
      </c>
      <c r="B1132" s="20">
        <v>851</v>
      </c>
      <c r="C1132" s="9">
        <v>356</v>
      </c>
      <c r="D1132" s="9">
        <v>11</v>
      </c>
      <c r="E1132" s="9" t="s">
        <v>6</v>
      </c>
      <c r="F1132" s="6" t="s">
        <v>13</v>
      </c>
      <c r="G1132" s="6" t="s">
        <v>12</v>
      </c>
      <c r="H1132" s="11">
        <v>44200</v>
      </c>
      <c r="I1132" s="6" t="s">
        <v>370</v>
      </c>
      <c r="J1132" s="6" t="s">
        <v>25</v>
      </c>
      <c r="K1132" s="6" t="s">
        <v>129</v>
      </c>
      <c r="L1132" s="6" t="s">
        <v>51</v>
      </c>
    </row>
    <row r="1133" spans="1:12">
      <c r="A1133" s="3" t="s">
        <v>369</v>
      </c>
      <c r="B1133" s="19">
        <v>851</v>
      </c>
      <c r="C1133" s="8">
        <v>356</v>
      </c>
      <c r="D1133" s="8">
        <v>11</v>
      </c>
      <c r="E1133" s="8" t="s">
        <v>6</v>
      </c>
      <c r="F1133" s="4" t="s">
        <v>13</v>
      </c>
      <c r="G1133" s="4" t="s">
        <v>12</v>
      </c>
      <c r="H1133" s="8" t="s">
        <v>371</v>
      </c>
      <c r="I1133" s="4" t="s">
        <v>372</v>
      </c>
      <c r="J1133" s="4" t="s">
        <v>15</v>
      </c>
      <c r="K1133" s="4" t="s">
        <v>171</v>
      </c>
      <c r="L1133" s="4" t="s">
        <v>88</v>
      </c>
    </row>
    <row r="1134" spans="1:12">
      <c r="A1134" s="3" t="s">
        <v>1804</v>
      </c>
      <c r="B1134" s="19">
        <v>847</v>
      </c>
      <c r="C1134" s="8">
        <v>355</v>
      </c>
      <c r="D1134" s="8">
        <v>17</v>
      </c>
      <c r="E1134" s="8" t="s">
        <v>10</v>
      </c>
      <c r="F1134" s="4" t="s">
        <v>34</v>
      </c>
      <c r="G1134" s="4" t="s">
        <v>8</v>
      </c>
      <c r="H1134" s="8" t="s">
        <v>1805</v>
      </c>
      <c r="I1134" s="4" t="s">
        <v>1806</v>
      </c>
      <c r="J1134" s="4" t="s">
        <v>19</v>
      </c>
      <c r="K1134" s="4" t="s">
        <v>126</v>
      </c>
      <c r="L1134" s="4" t="s">
        <v>64</v>
      </c>
    </row>
    <row r="1135" spans="1:12">
      <c r="A1135" s="5" t="s">
        <v>1804</v>
      </c>
      <c r="B1135" s="20">
        <v>847</v>
      </c>
      <c r="C1135" s="9">
        <v>355</v>
      </c>
      <c r="D1135" s="9">
        <v>17</v>
      </c>
      <c r="E1135" s="9" t="s">
        <v>10</v>
      </c>
      <c r="F1135" s="6" t="s">
        <v>34</v>
      </c>
      <c r="G1135" s="6" t="s">
        <v>8</v>
      </c>
      <c r="H1135" s="9" t="s">
        <v>958</v>
      </c>
      <c r="I1135" s="6" t="s">
        <v>1807</v>
      </c>
      <c r="J1135" s="6" t="s">
        <v>25</v>
      </c>
      <c r="K1135" s="6" t="s">
        <v>111</v>
      </c>
      <c r="L1135" s="6" t="s">
        <v>82</v>
      </c>
    </row>
    <row r="1136" spans="1:12">
      <c r="A1136" s="3" t="s">
        <v>1804</v>
      </c>
      <c r="B1136" s="19">
        <v>847</v>
      </c>
      <c r="C1136" s="8">
        <v>355</v>
      </c>
      <c r="D1136" s="8">
        <v>17</v>
      </c>
      <c r="E1136" s="8" t="s">
        <v>10</v>
      </c>
      <c r="F1136" s="4" t="s">
        <v>34</v>
      </c>
      <c r="G1136" s="4" t="s">
        <v>8</v>
      </c>
      <c r="H1136" s="8" t="s">
        <v>1808</v>
      </c>
      <c r="I1136" s="4" t="s">
        <v>1809</v>
      </c>
      <c r="J1136" s="4" t="s">
        <v>7</v>
      </c>
      <c r="K1136" s="4" t="s">
        <v>124</v>
      </c>
      <c r="L1136" s="4" t="s">
        <v>72</v>
      </c>
    </row>
    <row r="1137" spans="1:12">
      <c r="A1137" s="5" t="s">
        <v>1451</v>
      </c>
      <c r="B1137" s="20">
        <v>838</v>
      </c>
      <c r="C1137" s="9">
        <v>271</v>
      </c>
      <c r="D1137" s="9">
        <v>11</v>
      </c>
      <c r="E1137" s="9" t="s">
        <v>14</v>
      </c>
      <c r="F1137" s="6" t="s">
        <v>40</v>
      </c>
      <c r="G1137" s="6" t="s">
        <v>20</v>
      </c>
      <c r="H1137" s="9" t="s">
        <v>1452</v>
      </c>
      <c r="I1137" s="6" t="s">
        <v>1453</v>
      </c>
      <c r="J1137" s="6" t="s">
        <v>22</v>
      </c>
      <c r="K1137" s="6" t="s">
        <v>179</v>
      </c>
      <c r="L1137" s="6" t="s">
        <v>48</v>
      </c>
    </row>
    <row r="1138" spans="1:12">
      <c r="A1138" s="3" t="s">
        <v>1451</v>
      </c>
      <c r="B1138" s="19">
        <v>838</v>
      </c>
      <c r="C1138" s="8">
        <v>271</v>
      </c>
      <c r="D1138" s="8">
        <v>11</v>
      </c>
      <c r="E1138" s="8" t="s">
        <v>14</v>
      </c>
      <c r="F1138" s="4" t="s">
        <v>40</v>
      </c>
      <c r="G1138" s="4" t="s">
        <v>20</v>
      </c>
      <c r="H1138" s="8" t="s">
        <v>1405</v>
      </c>
      <c r="I1138" s="4" t="s">
        <v>1454</v>
      </c>
      <c r="J1138" s="4" t="s">
        <v>15</v>
      </c>
      <c r="K1138" s="4" t="s">
        <v>235</v>
      </c>
      <c r="L1138" s="4" t="s">
        <v>61</v>
      </c>
    </row>
    <row r="1139" spans="1:12">
      <c r="A1139" s="5" t="s">
        <v>239</v>
      </c>
      <c r="B1139" s="20">
        <v>822</v>
      </c>
      <c r="C1139" s="9">
        <v>147</v>
      </c>
      <c r="D1139" s="9">
        <v>5</v>
      </c>
      <c r="E1139" s="9" t="s">
        <v>10</v>
      </c>
      <c r="F1139" s="6" t="s">
        <v>32</v>
      </c>
      <c r="G1139" s="6" t="s">
        <v>12</v>
      </c>
      <c r="H1139" s="11">
        <v>45329</v>
      </c>
      <c r="I1139" s="6" t="s">
        <v>240</v>
      </c>
      <c r="J1139" s="6" t="s">
        <v>11</v>
      </c>
      <c r="K1139" s="6" t="s">
        <v>136</v>
      </c>
      <c r="L1139" s="6" t="s">
        <v>90</v>
      </c>
    </row>
    <row r="1140" spans="1:12">
      <c r="A1140" s="5" t="s">
        <v>1810</v>
      </c>
      <c r="B1140" s="20">
        <v>815</v>
      </c>
      <c r="C1140" s="9">
        <v>54</v>
      </c>
      <c r="D1140" s="9">
        <v>14</v>
      </c>
      <c r="E1140" s="9" t="s">
        <v>10</v>
      </c>
      <c r="F1140" s="6" t="s">
        <v>34</v>
      </c>
      <c r="G1140" s="6" t="s">
        <v>16</v>
      </c>
      <c r="H1140" s="9" t="s">
        <v>1811</v>
      </c>
      <c r="I1140" s="6" t="s">
        <v>1812</v>
      </c>
      <c r="J1140" s="6" t="s">
        <v>7</v>
      </c>
      <c r="K1140" s="6" t="s">
        <v>124</v>
      </c>
      <c r="L1140" s="6" t="s">
        <v>52</v>
      </c>
    </row>
    <row r="1141" spans="1:12">
      <c r="A1141" s="3" t="s">
        <v>1813</v>
      </c>
      <c r="B1141" s="19">
        <v>810</v>
      </c>
      <c r="C1141" s="8">
        <v>231</v>
      </c>
      <c r="D1141" s="8">
        <v>18</v>
      </c>
      <c r="E1141" s="8" t="s">
        <v>10</v>
      </c>
      <c r="F1141" s="4" t="s">
        <v>28</v>
      </c>
      <c r="G1141" s="4" t="s">
        <v>20</v>
      </c>
      <c r="H1141" s="8" t="s">
        <v>668</v>
      </c>
      <c r="I1141" s="4" t="s">
        <v>1814</v>
      </c>
      <c r="J1141" s="4" t="s">
        <v>11</v>
      </c>
      <c r="K1141" s="4" t="s">
        <v>136</v>
      </c>
      <c r="L1141" s="4" t="s">
        <v>43</v>
      </c>
    </row>
    <row r="1142" spans="1:12">
      <c r="A1142" s="3" t="s">
        <v>637</v>
      </c>
      <c r="B1142" s="19">
        <v>798</v>
      </c>
      <c r="C1142" s="8">
        <v>308</v>
      </c>
      <c r="D1142" s="8">
        <v>10</v>
      </c>
      <c r="E1142" s="8" t="s">
        <v>6</v>
      </c>
      <c r="F1142" s="4" t="s">
        <v>21</v>
      </c>
      <c r="G1142" s="4" t="s">
        <v>16</v>
      </c>
      <c r="H1142" s="10">
        <v>45261</v>
      </c>
      <c r="I1142" s="4" t="s">
        <v>638</v>
      </c>
      <c r="J1142" s="4" t="s">
        <v>19</v>
      </c>
      <c r="K1142" s="4" t="s">
        <v>126</v>
      </c>
      <c r="L1142" s="4" t="s">
        <v>72</v>
      </c>
    </row>
    <row r="1143" spans="1:12">
      <c r="A1143" s="5" t="s">
        <v>637</v>
      </c>
      <c r="B1143" s="20">
        <v>798</v>
      </c>
      <c r="C1143" s="9">
        <v>308</v>
      </c>
      <c r="D1143" s="9">
        <v>10</v>
      </c>
      <c r="E1143" s="9" t="s">
        <v>6</v>
      </c>
      <c r="F1143" s="6" t="s">
        <v>21</v>
      </c>
      <c r="G1143" s="6" t="s">
        <v>16</v>
      </c>
      <c r="H1143" s="9" t="s">
        <v>639</v>
      </c>
      <c r="I1143" s="6" t="s">
        <v>640</v>
      </c>
      <c r="J1143" s="6" t="s">
        <v>22</v>
      </c>
      <c r="K1143" s="6" t="s">
        <v>117</v>
      </c>
      <c r="L1143" s="6" t="s">
        <v>76</v>
      </c>
    </row>
    <row r="1144" spans="1:12">
      <c r="A1144" s="3" t="s">
        <v>206</v>
      </c>
      <c r="B1144" s="19">
        <v>796</v>
      </c>
      <c r="C1144" s="8">
        <v>153</v>
      </c>
      <c r="D1144" s="8">
        <v>15</v>
      </c>
      <c r="E1144" s="8" t="s">
        <v>14</v>
      </c>
      <c r="F1144" s="4" t="s">
        <v>44</v>
      </c>
      <c r="G1144" s="4" t="s">
        <v>12</v>
      </c>
      <c r="H1144" s="10">
        <v>44752</v>
      </c>
      <c r="I1144" s="4" t="s">
        <v>207</v>
      </c>
      <c r="J1144" s="4" t="s">
        <v>7</v>
      </c>
      <c r="K1144" s="4" t="s">
        <v>124</v>
      </c>
      <c r="L1144" s="4" t="s">
        <v>69</v>
      </c>
    </row>
    <row r="1145" spans="1:12">
      <c r="A1145" s="3" t="s">
        <v>1306</v>
      </c>
      <c r="B1145" s="19">
        <v>782</v>
      </c>
      <c r="C1145" s="8">
        <v>374</v>
      </c>
      <c r="D1145" s="8">
        <v>8</v>
      </c>
      <c r="E1145" s="8" t="s">
        <v>14</v>
      </c>
      <c r="F1145" s="4" t="s">
        <v>44</v>
      </c>
      <c r="G1145" s="4" t="s">
        <v>20</v>
      </c>
      <c r="H1145" s="8" t="s">
        <v>1307</v>
      </c>
      <c r="I1145" s="4" t="s">
        <v>1308</v>
      </c>
      <c r="J1145" s="4" t="s">
        <v>15</v>
      </c>
      <c r="K1145" s="4" t="s">
        <v>235</v>
      </c>
      <c r="L1145" s="4" t="s">
        <v>48</v>
      </c>
    </row>
    <row r="1146" spans="1:12">
      <c r="A1146" s="5" t="s">
        <v>1815</v>
      </c>
      <c r="B1146" s="20">
        <v>770</v>
      </c>
      <c r="C1146" s="9">
        <v>241</v>
      </c>
      <c r="D1146" s="9">
        <v>11</v>
      </c>
      <c r="E1146" s="9" t="s">
        <v>10</v>
      </c>
      <c r="F1146" s="6" t="s">
        <v>32</v>
      </c>
      <c r="G1146" s="6" t="s">
        <v>8</v>
      </c>
      <c r="H1146" s="9" t="s">
        <v>1816</v>
      </c>
      <c r="I1146" s="6" t="s">
        <v>1817</v>
      </c>
      <c r="J1146" s="6" t="s">
        <v>25</v>
      </c>
      <c r="K1146" s="6" t="s">
        <v>111</v>
      </c>
      <c r="L1146" s="6" t="s">
        <v>58</v>
      </c>
    </row>
    <row r="1147" spans="1:12">
      <c r="A1147" s="3" t="s">
        <v>1815</v>
      </c>
      <c r="B1147" s="19">
        <v>770</v>
      </c>
      <c r="C1147" s="8">
        <v>241</v>
      </c>
      <c r="D1147" s="8">
        <v>11</v>
      </c>
      <c r="E1147" s="8" t="s">
        <v>10</v>
      </c>
      <c r="F1147" s="4" t="s">
        <v>32</v>
      </c>
      <c r="G1147" s="4" t="s">
        <v>8</v>
      </c>
      <c r="H1147" s="10">
        <v>45019</v>
      </c>
      <c r="I1147" s="4" t="s">
        <v>1818</v>
      </c>
      <c r="J1147" s="4" t="s">
        <v>22</v>
      </c>
      <c r="K1147" s="4" t="s">
        <v>223</v>
      </c>
      <c r="L1147" s="4" t="s">
        <v>74</v>
      </c>
    </row>
    <row r="1148" spans="1:12">
      <c r="A1148" s="5" t="s">
        <v>1819</v>
      </c>
      <c r="B1148" s="20">
        <v>762</v>
      </c>
      <c r="C1148" s="9">
        <v>92</v>
      </c>
      <c r="D1148" s="9">
        <v>11</v>
      </c>
      <c r="E1148" s="9" t="s">
        <v>6</v>
      </c>
      <c r="F1148" s="6" t="s">
        <v>24</v>
      </c>
      <c r="G1148" s="6" t="s">
        <v>8</v>
      </c>
      <c r="H1148" s="11">
        <v>45078</v>
      </c>
      <c r="I1148" s="6" t="s">
        <v>1820</v>
      </c>
      <c r="J1148" s="6" t="s">
        <v>15</v>
      </c>
      <c r="K1148" s="6" t="s">
        <v>171</v>
      </c>
      <c r="L1148" s="6" t="s">
        <v>72</v>
      </c>
    </row>
    <row r="1149" spans="1:12">
      <c r="A1149" s="3" t="s">
        <v>1821</v>
      </c>
      <c r="B1149" s="19">
        <v>738</v>
      </c>
      <c r="C1149" s="8">
        <v>342</v>
      </c>
      <c r="D1149" s="8">
        <v>2</v>
      </c>
      <c r="E1149" s="8" t="s">
        <v>10</v>
      </c>
      <c r="F1149" s="4" t="s">
        <v>30</v>
      </c>
      <c r="G1149" s="4" t="s">
        <v>16</v>
      </c>
      <c r="H1149" s="8" t="s">
        <v>979</v>
      </c>
      <c r="I1149" s="4" t="s">
        <v>1822</v>
      </c>
      <c r="J1149" s="4" t="s">
        <v>22</v>
      </c>
      <c r="K1149" s="4" t="s">
        <v>223</v>
      </c>
      <c r="L1149" s="4" t="s">
        <v>75</v>
      </c>
    </row>
    <row r="1150" spans="1:12">
      <c r="A1150" s="5" t="s">
        <v>1821</v>
      </c>
      <c r="B1150" s="20">
        <v>738</v>
      </c>
      <c r="C1150" s="9">
        <v>342</v>
      </c>
      <c r="D1150" s="9">
        <v>2</v>
      </c>
      <c r="E1150" s="9" t="s">
        <v>10</v>
      </c>
      <c r="F1150" s="6" t="s">
        <v>30</v>
      </c>
      <c r="G1150" s="6" t="s">
        <v>16</v>
      </c>
      <c r="H1150" s="11">
        <v>43963</v>
      </c>
      <c r="I1150" s="6" t="s">
        <v>1823</v>
      </c>
      <c r="J1150" s="6" t="s">
        <v>19</v>
      </c>
      <c r="K1150" s="6" t="s">
        <v>126</v>
      </c>
      <c r="L1150" s="6" t="s">
        <v>47</v>
      </c>
    </row>
    <row r="1151" spans="1:12">
      <c r="A1151" s="3" t="s">
        <v>1821</v>
      </c>
      <c r="B1151" s="19">
        <v>738</v>
      </c>
      <c r="C1151" s="8">
        <v>342</v>
      </c>
      <c r="D1151" s="8">
        <v>2</v>
      </c>
      <c r="E1151" s="8" t="s">
        <v>10</v>
      </c>
      <c r="F1151" s="4" t="s">
        <v>30</v>
      </c>
      <c r="G1151" s="4" t="s">
        <v>16</v>
      </c>
      <c r="H1151" s="8" t="s">
        <v>1824</v>
      </c>
      <c r="I1151" s="4" t="s">
        <v>1825</v>
      </c>
      <c r="J1151" s="4" t="s">
        <v>22</v>
      </c>
      <c r="K1151" s="4" t="s">
        <v>223</v>
      </c>
      <c r="L1151" s="4" t="s">
        <v>88</v>
      </c>
    </row>
    <row r="1152" spans="1:12">
      <c r="A1152" s="5" t="s">
        <v>1821</v>
      </c>
      <c r="B1152" s="20">
        <v>738</v>
      </c>
      <c r="C1152" s="9">
        <v>342</v>
      </c>
      <c r="D1152" s="9">
        <v>2</v>
      </c>
      <c r="E1152" s="9" t="s">
        <v>10</v>
      </c>
      <c r="F1152" s="6" t="s">
        <v>30</v>
      </c>
      <c r="G1152" s="6" t="s">
        <v>16</v>
      </c>
      <c r="H1152" s="9" t="s">
        <v>578</v>
      </c>
      <c r="I1152" s="6" t="s">
        <v>1826</v>
      </c>
      <c r="J1152" s="6" t="s">
        <v>19</v>
      </c>
      <c r="K1152" s="6" t="s">
        <v>210</v>
      </c>
      <c r="L1152" s="6" t="s">
        <v>60</v>
      </c>
    </row>
    <row r="1153" spans="1:12">
      <c r="A1153" s="5" t="s">
        <v>1312</v>
      </c>
      <c r="B1153" s="20">
        <v>736</v>
      </c>
      <c r="C1153" s="9">
        <v>286</v>
      </c>
      <c r="D1153" s="9">
        <v>12</v>
      </c>
      <c r="E1153" s="9" t="s">
        <v>14</v>
      </c>
      <c r="F1153" s="6" t="s">
        <v>44</v>
      </c>
      <c r="G1153" s="6" t="s">
        <v>20</v>
      </c>
      <c r="H1153" s="9" t="s">
        <v>1313</v>
      </c>
      <c r="I1153" s="6" t="s">
        <v>617</v>
      </c>
      <c r="J1153" s="6" t="s">
        <v>22</v>
      </c>
      <c r="K1153" s="6" t="s">
        <v>223</v>
      </c>
      <c r="L1153" s="6" t="s">
        <v>66</v>
      </c>
    </row>
    <row r="1154" spans="1:12">
      <c r="A1154" s="5" t="s">
        <v>813</v>
      </c>
      <c r="B1154" s="20">
        <v>725</v>
      </c>
      <c r="C1154" s="9">
        <v>133</v>
      </c>
      <c r="D1154" s="9">
        <v>6</v>
      </c>
      <c r="E1154" s="9" t="s">
        <v>14</v>
      </c>
      <c r="F1154" s="6" t="s">
        <v>42</v>
      </c>
      <c r="G1154" s="6" t="s">
        <v>12</v>
      </c>
      <c r="H1154" s="9" t="s">
        <v>814</v>
      </c>
      <c r="I1154" s="6" t="s">
        <v>815</v>
      </c>
      <c r="J1154" s="6" t="s">
        <v>19</v>
      </c>
      <c r="K1154" s="6" t="s">
        <v>108</v>
      </c>
      <c r="L1154" s="6" t="s">
        <v>95</v>
      </c>
    </row>
    <row r="1155" spans="1:12">
      <c r="A1155" s="5" t="s">
        <v>554</v>
      </c>
      <c r="B1155" s="20">
        <v>721</v>
      </c>
      <c r="C1155" s="9">
        <v>258</v>
      </c>
      <c r="D1155" s="9">
        <v>13</v>
      </c>
      <c r="E1155" s="9" t="s">
        <v>6</v>
      </c>
      <c r="F1155" s="6" t="s">
        <v>17</v>
      </c>
      <c r="G1155" s="6" t="s">
        <v>16</v>
      </c>
      <c r="H1155" s="9" t="s">
        <v>555</v>
      </c>
      <c r="I1155" s="6" t="s">
        <v>556</v>
      </c>
      <c r="J1155" s="6" t="s">
        <v>15</v>
      </c>
      <c r="K1155" s="6" t="s">
        <v>235</v>
      </c>
      <c r="L1155" s="6" t="s">
        <v>81</v>
      </c>
    </row>
    <row r="1156" spans="1:12">
      <c r="A1156" s="3" t="s">
        <v>554</v>
      </c>
      <c r="B1156" s="19">
        <v>721</v>
      </c>
      <c r="C1156" s="8">
        <v>258</v>
      </c>
      <c r="D1156" s="8">
        <v>13</v>
      </c>
      <c r="E1156" s="8" t="s">
        <v>6</v>
      </c>
      <c r="F1156" s="4" t="s">
        <v>17</v>
      </c>
      <c r="G1156" s="4" t="s">
        <v>16</v>
      </c>
      <c r="H1156" s="8" t="s">
        <v>557</v>
      </c>
      <c r="I1156" s="4" t="s">
        <v>558</v>
      </c>
      <c r="J1156" s="4" t="s">
        <v>19</v>
      </c>
      <c r="K1156" s="4" t="s">
        <v>126</v>
      </c>
      <c r="L1156" s="4" t="s">
        <v>65</v>
      </c>
    </row>
    <row r="1157" spans="1:12">
      <c r="A1157" s="5" t="s">
        <v>1827</v>
      </c>
      <c r="B1157" s="20">
        <v>717</v>
      </c>
      <c r="C1157" s="9">
        <v>158</v>
      </c>
      <c r="D1157" s="9">
        <v>16</v>
      </c>
      <c r="E1157" s="9" t="s">
        <v>10</v>
      </c>
      <c r="F1157" s="6" t="s">
        <v>34</v>
      </c>
      <c r="G1157" s="6" t="s">
        <v>12</v>
      </c>
      <c r="H1157" s="9" t="s">
        <v>1828</v>
      </c>
      <c r="I1157" s="6" t="s">
        <v>1829</v>
      </c>
      <c r="J1157" s="6" t="s">
        <v>22</v>
      </c>
      <c r="K1157" s="6" t="s">
        <v>117</v>
      </c>
      <c r="L1157" s="6" t="s">
        <v>62</v>
      </c>
    </row>
    <row r="1158" spans="1:12">
      <c r="A1158" s="3" t="s">
        <v>1827</v>
      </c>
      <c r="B1158" s="19">
        <v>717</v>
      </c>
      <c r="C1158" s="8">
        <v>158</v>
      </c>
      <c r="D1158" s="8">
        <v>16</v>
      </c>
      <c r="E1158" s="8" t="s">
        <v>10</v>
      </c>
      <c r="F1158" s="4" t="s">
        <v>34</v>
      </c>
      <c r="G1158" s="4" t="s">
        <v>12</v>
      </c>
      <c r="H1158" s="8" t="s">
        <v>1830</v>
      </c>
      <c r="I1158" s="4" t="s">
        <v>1831</v>
      </c>
      <c r="J1158" s="4" t="s">
        <v>11</v>
      </c>
      <c r="K1158" s="4" t="s">
        <v>156</v>
      </c>
      <c r="L1158" s="4" t="s">
        <v>35</v>
      </c>
    </row>
    <row r="1159" spans="1:12">
      <c r="A1159" s="5" t="s">
        <v>1827</v>
      </c>
      <c r="B1159" s="20">
        <v>717</v>
      </c>
      <c r="C1159" s="9">
        <v>158</v>
      </c>
      <c r="D1159" s="9">
        <v>16</v>
      </c>
      <c r="E1159" s="9" t="s">
        <v>10</v>
      </c>
      <c r="F1159" s="6" t="s">
        <v>34</v>
      </c>
      <c r="G1159" s="6" t="s">
        <v>12</v>
      </c>
      <c r="H1159" s="9" t="s">
        <v>597</v>
      </c>
      <c r="I1159" s="6" t="s">
        <v>1832</v>
      </c>
      <c r="J1159" s="6" t="s">
        <v>19</v>
      </c>
      <c r="K1159" s="6" t="s">
        <v>126</v>
      </c>
      <c r="L1159" s="6" t="s">
        <v>71</v>
      </c>
    </row>
    <row r="1160" spans="1:12">
      <c r="A1160" s="3" t="s">
        <v>1827</v>
      </c>
      <c r="B1160" s="19">
        <v>717</v>
      </c>
      <c r="C1160" s="8">
        <v>158</v>
      </c>
      <c r="D1160" s="8">
        <v>16</v>
      </c>
      <c r="E1160" s="8" t="s">
        <v>10</v>
      </c>
      <c r="F1160" s="4" t="s">
        <v>34</v>
      </c>
      <c r="G1160" s="4" t="s">
        <v>12</v>
      </c>
      <c r="H1160" s="8" t="s">
        <v>1833</v>
      </c>
      <c r="I1160" s="4" t="s">
        <v>1834</v>
      </c>
      <c r="J1160" s="4" t="s">
        <v>19</v>
      </c>
      <c r="K1160" s="4" t="s">
        <v>210</v>
      </c>
      <c r="L1160" s="4" t="s">
        <v>94</v>
      </c>
    </row>
    <row r="1161" spans="1:12">
      <c r="A1161" s="5" t="s">
        <v>1827</v>
      </c>
      <c r="B1161" s="20">
        <v>717</v>
      </c>
      <c r="C1161" s="9">
        <v>158</v>
      </c>
      <c r="D1161" s="9">
        <v>16</v>
      </c>
      <c r="E1161" s="9" t="s">
        <v>10</v>
      </c>
      <c r="F1161" s="6" t="s">
        <v>34</v>
      </c>
      <c r="G1161" s="6" t="s">
        <v>12</v>
      </c>
      <c r="H1161" s="11">
        <v>43993</v>
      </c>
      <c r="I1161" s="6" t="s">
        <v>1835</v>
      </c>
      <c r="J1161" s="6" t="s">
        <v>11</v>
      </c>
      <c r="K1161" s="6" t="s">
        <v>120</v>
      </c>
      <c r="L1161" s="6" t="s">
        <v>45</v>
      </c>
    </row>
    <row r="1162" spans="1:12">
      <c r="A1162" s="3" t="s">
        <v>1827</v>
      </c>
      <c r="B1162" s="19">
        <v>717</v>
      </c>
      <c r="C1162" s="8">
        <v>158</v>
      </c>
      <c r="D1162" s="8">
        <v>16</v>
      </c>
      <c r="E1162" s="8" t="s">
        <v>10</v>
      </c>
      <c r="F1162" s="4" t="s">
        <v>34</v>
      </c>
      <c r="G1162" s="4" t="s">
        <v>12</v>
      </c>
      <c r="H1162" s="8" t="s">
        <v>1836</v>
      </c>
      <c r="I1162" s="4" t="s">
        <v>1837</v>
      </c>
      <c r="J1162" s="4" t="s">
        <v>19</v>
      </c>
      <c r="K1162" s="4" t="s">
        <v>108</v>
      </c>
      <c r="L1162" s="4" t="s">
        <v>81</v>
      </c>
    </row>
    <row r="1163" spans="1:12">
      <c r="A1163" s="3" t="s">
        <v>1838</v>
      </c>
      <c r="B1163" s="19">
        <v>714</v>
      </c>
      <c r="C1163" s="8">
        <v>232</v>
      </c>
      <c r="D1163" s="8">
        <v>14</v>
      </c>
      <c r="E1163" s="8" t="s">
        <v>10</v>
      </c>
      <c r="F1163" s="4" t="s">
        <v>34</v>
      </c>
      <c r="G1163" s="4" t="s">
        <v>23</v>
      </c>
      <c r="H1163" s="8" t="s">
        <v>1808</v>
      </c>
      <c r="I1163" s="4" t="s">
        <v>1839</v>
      </c>
      <c r="J1163" s="4" t="s">
        <v>22</v>
      </c>
      <c r="K1163" s="4" t="s">
        <v>179</v>
      </c>
      <c r="L1163" s="4" t="s">
        <v>72</v>
      </c>
    </row>
    <row r="1164" spans="1:12">
      <c r="A1164" s="5" t="s">
        <v>1838</v>
      </c>
      <c r="B1164" s="20">
        <v>714</v>
      </c>
      <c r="C1164" s="9">
        <v>232</v>
      </c>
      <c r="D1164" s="9">
        <v>14</v>
      </c>
      <c r="E1164" s="9" t="s">
        <v>10</v>
      </c>
      <c r="F1164" s="6" t="s">
        <v>34</v>
      </c>
      <c r="G1164" s="6" t="s">
        <v>23</v>
      </c>
      <c r="H1164" s="9" t="s">
        <v>1840</v>
      </c>
      <c r="I1164" s="6" t="s">
        <v>1841</v>
      </c>
      <c r="J1164" s="6" t="s">
        <v>25</v>
      </c>
      <c r="K1164" s="6" t="s">
        <v>111</v>
      </c>
      <c r="L1164" s="6" t="s">
        <v>47</v>
      </c>
    </row>
    <row r="1165" spans="1:12">
      <c r="A1165" s="5" t="s">
        <v>1842</v>
      </c>
      <c r="B1165" s="20">
        <v>706</v>
      </c>
      <c r="C1165" s="9">
        <v>197</v>
      </c>
      <c r="D1165" s="9">
        <v>11</v>
      </c>
      <c r="E1165" s="9" t="s">
        <v>6</v>
      </c>
      <c r="F1165" s="6" t="s">
        <v>17</v>
      </c>
      <c r="G1165" s="6" t="s">
        <v>12</v>
      </c>
      <c r="H1165" s="11">
        <v>44593</v>
      </c>
      <c r="I1165" s="6" t="s">
        <v>1843</v>
      </c>
      <c r="J1165" s="6" t="s">
        <v>25</v>
      </c>
      <c r="K1165" s="6" t="s">
        <v>111</v>
      </c>
      <c r="L1165" s="6" t="s">
        <v>60</v>
      </c>
    </row>
    <row r="1166" spans="1:12">
      <c r="A1166" s="5" t="s">
        <v>1844</v>
      </c>
      <c r="B1166" s="20">
        <v>702</v>
      </c>
      <c r="C1166" s="9">
        <v>238</v>
      </c>
      <c r="D1166" s="9">
        <v>9</v>
      </c>
      <c r="E1166" s="9" t="s">
        <v>6</v>
      </c>
      <c r="F1166" s="6" t="s">
        <v>21</v>
      </c>
      <c r="G1166" s="6" t="s">
        <v>8</v>
      </c>
      <c r="H1166" s="9" t="s">
        <v>1845</v>
      </c>
      <c r="I1166" s="6" t="s">
        <v>1846</v>
      </c>
      <c r="J1166" s="6" t="s">
        <v>11</v>
      </c>
      <c r="K1166" s="6" t="s">
        <v>136</v>
      </c>
      <c r="L1166" s="6" t="s">
        <v>50</v>
      </c>
    </row>
    <row r="1167" spans="1:12">
      <c r="A1167" s="3" t="s">
        <v>1553</v>
      </c>
      <c r="B1167" s="19">
        <v>697</v>
      </c>
      <c r="C1167" s="8">
        <v>116</v>
      </c>
      <c r="D1167" s="8">
        <v>1</v>
      </c>
      <c r="E1167" s="8" t="s">
        <v>10</v>
      </c>
      <c r="F1167" s="4" t="s">
        <v>30</v>
      </c>
      <c r="G1167" s="4" t="s">
        <v>23</v>
      </c>
      <c r="H1167" s="8" t="s">
        <v>1554</v>
      </c>
      <c r="I1167" s="4" t="s">
        <v>1555</v>
      </c>
      <c r="J1167" s="4" t="s">
        <v>19</v>
      </c>
      <c r="K1167" s="4" t="s">
        <v>126</v>
      </c>
      <c r="L1167" s="4" t="s">
        <v>31</v>
      </c>
    </row>
    <row r="1168" spans="1:12">
      <c r="A1168" s="5" t="s">
        <v>1553</v>
      </c>
      <c r="B1168" s="20">
        <v>697</v>
      </c>
      <c r="C1168" s="9">
        <v>116</v>
      </c>
      <c r="D1168" s="9">
        <v>1</v>
      </c>
      <c r="E1168" s="9" t="s">
        <v>10</v>
      </c>
      <c r="F1168" s="6" t="s">
        <v>30</v>
      </c>
      <c r="G1168" s="6" t="s">
        <v>23</v>
      </c>
      <c r="H1168" s="9" t="s">
        <v>1556</v>
      </c>
      <c r="I1168" s="6" t="s">
        <v>1557</v>
      </c>
      <c r="J1168" s="6" t="s">
        <v>25</v>
      </c>
      <c r="K1168" s="6" t="s">
        <v>253</v>
      </c>
      <c r="L1168" s="6" t="s">
        <v>88</v>
      </c>
    </row>
    <row r="1169" spans="1:12">
      <c r="A1169" s="3" t="s">
        <v>1847</v>
      </c>
      <c r="B1169" s="19">
        <v>670</v>
      </c>
      <c r="C1169" s="8">
        <v>85</v>
      </c>
      <c r="D1169" s="8">
        <v>9</v>
      </c>
      <c r="E1169" s="8" t="s">
        <v>14</v>
      </c>
      <c r="F1169" s="4" t="s">
        <v>44</v>
      </c>
      <c r="G1169" s="4" t="s">
        <v>20</v>
      </c>
      <c r="H1169" s="8" t="s">
        <v>573</v>
      </c>
      <c r="I1169" s="4" t="s">
        <v>1848</v>
      </c>
      <c r="J1169" s="4" t="s">
        <v>25</v>
      </c>
      <c r="K1169" s="4" t="s">
        <v>253</v>
      </c>
      <c r="L1169" s="4" t="s">
        <v>79</v>
      </c>
    </row>
    <row r="1170" spans="1:12">
      <c r="A1170" s="3" t="s">
        <v>1849</v>
      </c>
      <c r="B1170" s="19">
        <v>655</v>
      </c>
      <c r="C1170" s="8">
        <v>297</v>
      </c>
      <c r="D1170" s="8">
        <v>4</v>
      </c>
      <c r="E1170" s="8" t="s">
        <v>14</v>
      </c>
      <c r="F1170" s="4" t="s">
        <v>40</v>
      </c>
      <c r="G1170" s="4" t="s">
        <v>16</v>
      </c>
      <c r="H1170" s="8" t="s">
        <v>1850</v>
      </c>
      <c r="I1170" s="4" t="s">
        <v>1851</v>
      </c>
      <c r="J1170" s="4" t="s">
        <v>19</v>
      </c>
      <c r="K1170" s="4" t="s">
        <v>126</v>
      </c>
      <c r="L1170" s="4" t="s">
        <v>61</v>
      </c>
    </row>
    <row r="1171" spans="1:12">
      <c r="A1171" s="5" t="s">
        <v>1849</v>
      </c>
      <c r="B1171" s="20">
        <v>655</v>
      </c>
      <c r="C1171" s="9">
        <v>297</v>
      </c>
      <c r="D1171" s="9">
        <v>4</v>
      </c>
      <c r="E1171" s="9" t="s">
        <v>14</v>
      </c>
      <c r="F1171" s="6" t="s">
        <v>40</v>
      </c>
      <c r="G1171" s="6" t="s">
        <v>16</v>
      </c>
      <c r="H1171" s="9" t="s">
        <v>1852</v>
      </c>
      <c r="I1171" s="6" t="s">
        <v>1853</v>
      </c>
      <c r="J1171" s="6" t="s">
        <v>11</v>
      </c>
      <c r="K1171" s="6" t="s">
        <v>120</v>
      </c>
      <c r="L1171" s="6" t="s">
        <v>82</v>
      </c>
    </row>
    <row r="1172" spans="1:12">
      <c r="A1172" s="3" t="s">
        <v>628</v>
      </c>
      <c r="B1172" s="19">
        <v>622</v>
      </c>
      <c r="C1172" s="8">
        <v>218</v>
      </c>
      <c r="D1172" s="8">
        <v>19</v>
      </c>
      <c r="E1172" s="8" t="s">
        <v>10</v>
      </c>
      <c r="F1172" s="4" t="s">
        <v>28</v>
      </c>
      <c r="G1172" s="4" t="s">
        <v>12</v>
      </c>
      <c r="H1172" s="8" t="s">
        <v>629</v>
      </c>
      <c r="I1172" s="4" t="s">
        <v>630</v>
      </c>
      <c r="J1172" s="4" t="s">
        <v>7</v>
      </c>
      <c r="K1172" s="4" t="s">
        <v>162</v>
      </c>
      <c r="L1172" s="4" t="s">
        <v>89</v>
      </c>
    </row>
    <row r="1173" spans="1:12">
      <c r="A1173" s="3" t="s">
        <v>1854</v>
      </c>
      <c r="B1173" s="19">
        <v>611</v>
      </c>
      <c r="C1173" s="8">
        <v>300</v>
      </c>
      <c r="D1173" s="8">
        <v>3</v>
      </c>
      <c r="E1173" s="8" t="s">
        <v>10</v>
      </c>
      <c r="F1173" s="4" t="s">
        <v>28</v>
      </c>
      <c r="G1173" s="4" t="s">
        <v>12</v>
      </c>
      <c r="H1173" s="8" t="s">
        <v>1855</v>
      </c>
      <c r="I1173" s="4" t="s">
        <v>1856</v>
      </c>
      <c r="J1173" s="4" t="s">
        <v>15</v>
      </c>
      <c r="K1173" s="4" t="s">
        <v>235</v>
      </c>
      <c r="L1173" s="4" t="s">
        <v>43</v>
      </c>
    </row>
    <row r="1174" spans="1:12">
      <c r="A1174" s="5" t="s">
        <v>1575</v>
      </c>
      <c r="B1174" s="20">
        <v>599</v>
      </c>
      <c r="C1174" s="9">
        <v>265</v>
      </c>
      <c r="D1174" s="9">
        <v>4</v>
      </c>
      <c r="E1174" s="9" t="s">
        <v>6</v>
      </c>
      <c r="F1174" s="6" t="s">
        <v>21</v>
      </c>
      <c r="G1174" s="6" t="s">
        <v>12</v>
      </c>
      <c r="H1174" s="9" t="s">
        <v>1576</v>
      </c>
      <c r="I1174" s="6" t="s">
        <v>1577</v>
      </c>
      <c r="J1174" s="6" t="s">
        <v>19</v>
      </c>
      <c r="K1174" s="6" t="s">
        <v>126</v>
      </c>
      <c r="L1174" s="6" t="s">
        <v>66</v>
      </c>
    </row>
    <row r="1175" spans="1:12">
      <c r="A1175" s="3" t="s">
        <v>1575</v>
      </c>
      <c r="B1175" s="19">
        <v>599</v>
      </c>
      <c r="C1175" s="8">
        <v>265</v>
      </c>
      <c r="D1175" s="8">
        <v>4</v>
      </c>
      <c r="E1175" s="8" t="s">
        <v>6</v>
      </c>
      <c r="F1175" s="4" t="s">
        <v>21</v>
      </c>
      <c r="G1175" s="4" t="s">
        <v>12</v>
      </c>
      <c r="H1175" s="10">
        <v>45424</v>
      </c>
      <c r="I1175" s="4" t="s">
        <v>1578</v>
      </c>
      <c r="J1175" s="4" t="s">
        <v>19</v>
      </c>
      <c r="K1175" s="4" t="s">
        <v>108</v>
      </c>
      <c r="L1175" s="4" t="s">
        <v>95</v>
      </c>
    </row>
    <row r="1176" spans="1:12">
      <c r="A1176" s="5" t="s">
        <v>1857</v>
      </c>
      <c r="B1176" s="20">
        <v>594</v>
      </c>
      <c r="C1176" s="9">
        <v>67</v>
      </c>
      <c r="D1176" s="9">
        <v>19</v>
      </c>
      <c r="E1176" s="9" t="s">
        <v>14</v>
      </c>
      <c r="F1176" s="6" t="s">
        <v>42</v>
      </c>
      <c r="G1176" s="6" t="s">
        <v>16</v>
      </c>
      <c r="H1176" s="11">
        <v>45208</v>
      </c>
      <c r="I1176" s="6" t="s">
        <v>1858</v>
      </c>
      <c r="J1176" s="6" t="s">
        <v>19</v>
      </c>
      <c r="K1176" s="6" t="s">
        <v>126</v>
      </c>
      <c r="L1176" s="6" t="s">
        <v>80</v>
      </c>
    </row>
    <row r="1177" spans="1:12">
      <c r="A1177" s="3" t="s">
        <v>1857</v>
      </c>
      <c r="B1177" s="19">
        <v>594</v>
      </c>
      <c r="C1177" s="8">
        <v>67</v>
      </c>
      <c r="D1177" s="8">
        <v>19</v>
      </c>
      <c r="E1177" s="8" t="s">
        <v>14</v>
      </c>
      <c r="F1177" s="4" t="s">
        <v>42</v>
      </c>
      <c r="G1177" s="4" t="s">
        <v>16</v>
      </c>
      <c r="H1177" s="10">
        <v>45413</v>
      </c>
      <c r="I1177" s="4" t="s">
        <v>1859</v>
      </c>
      <c r="J1177" s="4" t="s">
        <v>11</v>
      </c>
      <c r="K1177" s="4" t="s">
        <v>156</v>
      </c>
      <c r="L1177" s="4" t="s">
        <v>84</v>
      </c>
    </row>
    <row r="1178" spans="1:12">
      <c r="A1178" s="5" t="s">
        <v>1857</v>
      </c>
      <c r="B1178" s="20">
        <v>594</v>
      </c>
      <c r="C1178" s="9">
        <v>67</v>
      </c>
      <c r="D1178" s="9">
        <v>19</v>
      </c>
      <c r="E1178" s="9" t="s">
        <v>14</v>
      </c>
      <c r="F1178" s="6" t="s">
        <v>42</v>
      </c>
      <c r="G1178" s="6" t="s">
        <v>16</v>
      </c>
      <c r="H1178" s="11">
        <v>45509</v>
      </c>
      <c r="I1178" s="6" t="s">
        <v>1860</v>
      </c>
      <c r="J1178" s="6" t="s">
        <v>25</v>
      </c>
      <c r="K1178" s="6" t="s">
        <v>111</v>
      </c>
      <c r="L1178" s="6" t="s">
        <v>88</v>
      </c>
    </row>
    <row r="1179" spans="1:12">
      <c r="A1179" s="3" t="s">
        <v>1455</v>
      </c>
      <c r="B1179" s="19">
        <v>576</v>
      </c>
      <c r="C1179" s="8">
        <v>76</v>
      </c>
      <c r="D1179" s="8">
        <v>13</v>
      </c>
      <c r="E1179" s="8" t="s">
        <v>10</v>
      </c>
      <c r="F1179" s="4" t="s">
        <v>32</v>
      </c>
      <c r="G1179" s="4" t="s">
        <v>23</v>
      </c>
      <c r="H1179" s="8" t="s">
        <v>1456</v>
      </c>
      <c r="I1179" s="4" t="s">
        <v>1457</v>
      </c>
      <c r="J1179" s="4" t="s">
        <v>7</v>
      </c>
      <c r="K1179" s="4" t="s">
        <v>205</v>
      </c>
      <c r="L1179" s="4" t="s">
        <v>61</v>
      </c>
    </row>
    <row r="1180" spans="1:12">
      <c r="A1180" s="3" t="s">
        <v>1861</v>
      </c>
      <c r="B1180" s="19">
        <v>544</v>
      </c>
      <c r="C1180" s="8">
        <v>272</v>
      </c>
      <c r="D1180" s="8">
        <v>2</v>
      </c>
      <c r="E1180" s="8" t="s">
        <v>6</v>
      </c>
      <c r="F1180" s="4" t="s">
        <v>17</v>
      </c>
      <c r="G1180" s="4" t="s">
        <v>16</v>
      </c>
      <c r="H1180" s="10">
        <v>44319</v>
      </c>
      <c r="I1180" s="4" t="s">
        <v>1862</v>
      </c>
      <c r="J1180" s="4" t="s">
        <v>25</v>
      </c>
      <c r="K1180" s="4" t="s">
        <v>253</v>
      </c>
      <c r="L1180" s="4" t="s">
        <v>50</v>
      </c>
    </row>
    <row r="1181" spans="1:12">
      <c r="A1181" s="5" t="s">
        <v>1861</v>
      </c>
      <c r="B1181" s="20">
        <v>544</v>
      </c>
      <c r="C1181" s="9">
        <v>272</v>
      </c>
      <c r="D1181" s="9">
        <v>2</v>
      </c>
      <c r="E1181" s="9" t="s">
        <v>6</v>
      </c>
      <c r="F1181" s="6" t="s">
        <v>17</v>
      </c>
      <c r="G1181" s="6" t="s">
        <v>16</v>
      </c>
      <c r="H1181" s="9" t="s">
        <v>1498</v>
      </c>
      <c r="I1181" s="6" t="s">
        <v>1863</v>
      </c>
      <c r="J1181" s="6" t="s">
        <v>19</v>
      </c>
      <c r="K1181" s="6" t="s">
        <v>126</v>
      </c>
      <c r="L1181" s="6" t="s">
        <v>77</v>
      </c>
    </row>
    <row r="1182" spans="1:12">
      <c r="A1182" s="3" t="s">
        <v>1864</v>
      </c>
      <c r="B1182" s="19">
        <v>537</v>
      </c>
      <c r="C1182" s="8">
        <v>142</v>
      </c>
      <c r="D1182" s="8">
        <v>20</v>
      </c>
      <c r="E1182" s="8" t="s">
        <v>14</v>
      </c>
      <c r="F1182" s="4" t="s">
        <v>40</v>
      </c>
      <c r="G1182" s="4" t="s">
        <v>20</v>
      </c>
      <c r="H1182" s="10">
        <v>44235</v>
      </c>
      <c r="I1182" s="4" t="s">
        <v>1865</v>
      </c>
      <c r="J1182" s="4" t="s">
        <v>15</v>
      </c>
      <c r="K1182" s="4" t="s">
        <v>235</v>
      </c>
      <c r="L1182" s="4" t="s">
        <v>55</v>
      </c>
    </row>
    <row r="1183" spans="1:12">
      <c r="A1183" s="3" t="s">
        <v>219</v>
      </c>
      <c r="B1183" s="19">
        <v>535</v>
      </c>
      <c r="C1183" s="8">
        <v>72</v>
      </c>
      <c r="D1183" s="8">
        <v>6</v>
      </c>
      <c r="E1183" s="8" t="s">
        <v>10</v>
      </c>
      <c r="F1183" s="4" t="s">
        <v>28</v>
      </c>
      <c r="G1183" s="4" t="s">
        <v>8</v>
      </c>
      <c r="H1183" s="10">
        <v>45841</v>
      </c>
      <c r="I1183" s="4" t="s">
        <v>220</v>
      </c>
      <c r="J1183" s="4" t="s">
        <v>15</v>
      </c>
      <c r="K1183" s="4" t="s">
        <v>171</v>
      </c>
      <c r="L1183" s="4" t="s">
        <v>98</v>
      </c>
    </row>
    <row r="1184" spans="1:12">
      <c r="A1184" s="3" t="s">
        <v>1251</v>
      </c>
      <c r="B1184" s="19">
        <v>531</v>
      </c>
      <c r="C1184" s="8">
        <v>189</v>
      </c>
      <c r="D1184" s="8">
        <v>20</v>
      </c>
      <c r="E1184" s="8" t="s">
        <v>10</v>
      </c>
      <c r="F1184" s="4" t="s">
        <v>28</v>
      </c>
      <c r="G1184" s="4" t="s">
        <v>16</v>
      </c>
      <c r="H1184" s="8" t="s">
        <v>1252</v>
      </c>
      <c r="I1184" s="4" t="s">
        <v>1253</v>
      </c>
      <c r="J1184" s="4" t="s">
        <v>19</v>
      </c>
      <c r="K1184" s="4" t="s">
        <v>126</v>
      </c>
      <c r="L1184" s="4" t="s">
        <v>65</v>
      </c>
    </row>
    <row r="1185" spans="1:12">
      <c r="A1185" s="5" t="s">
        <v>1866</v>
      </c>
      <c r="B1185" s="20">
        <v>526</v>
      </c>
      <c r="C1185" s="9">
        <v>83</v>
      </c>
      <c r="D1185" s="9">
        <v>4</v>
      </c>
      <c r="E1185" s="9" t="s">
        <v>10</v>
      </c>
      <c r="F1185" s="6" t="s">
        <v>32</v>
      </c>
      <c r="G1185" s="6" t="s">
        <v>12</v>
      </c>
      <c r="H1185" s="9" t="s">
        <v>1867</v>
      </c>
      <c r="I1185" s="6" t="s">
        <v>1868</v>
      </c>
      <c r="J1185" s="6" t="s">
        <v>15</v>
      </c>
      <c r="K1185" s="6" t="s">
        <v>132</v>
      </c>
      <c r="L1185" s="6" t="s">
        <v>61</v>
      </c>
    </row>
    <row r="1186" spans="1:12">
      <c r="A1186" s="3" t="s">
        <v>1869</v>
      </c>
      <c r="B1186" s="19">
        <v>523</v>
      </c>
      <c r="C1186" s="8">
        <v>95</v>
      </c>
      <c r="D1186" s="8">
        <v>20</v>
      </c>
      <c r="E1186" s="8" t="s">
        <v>6</v>
      </c>
      <c r="F1186" s="4" t="s">
        <v>24</v>
      </c>
      <c r="G1186" s="4" t="s">
        <v>20</v>
      </c>
      <c r="H1186" s="10">
        <v>45485</v>
      </c>
      <c r="I1186" s="4" t="s">
        <v>1870</v>
      </c>
      <c r="J1186" s="4" t="s">
        <v>25</v>
      </c>
      <c r="K1186" s="4" t="s">
        <v>129</v>
      </c>
      <c r="L1186" s="4" t="s">
        <v>95</v>
      </c>
    </row>
    <row r="1187" spans="1:12">
      <c r="A1187" s="3" t="s">
        <v>1436</v>
      </c>
      <c r="B1187" s="19">
        <v>514</v>
      </c>
      <c r="C1187" s="8">
        <v>109</v>
      </c>
      <c r="D1187" s="8">
        <v>15</v>
      </c>
      <c r="E1187" s="8" t="s">
        <v>14</v>
      </c>
      <c r="F1187" s="4" t="s">
        <v>42</v>
      </c>
      <c r="G1187" s="4" t="s">
        <v>16</v>
      </c>
      <c r="H1187" s="8" t="s">
        <v>1437</v>
      </c>
      <c r="I1187" s="4" t="s">
        <v>1438</v>
      </c>
      <c r="J1187" s="4" t="s">
        <v>22</v>
      </c>
      <c r="K1187" s="4" t="s">
        <v>179</v>
      </c>
      <c r="L1187" s="4" t="s">
        <v>84</v>
      </c>
    </row>
    <row r="1188" spans="1:12">
      <c r="A1188" s="5" t="s">
        <v>1436</v>
      </c>
      <c r="B1188" s="20">
        <v>514</v>
      </c>
      <c r="C1188" s="9">
        <v>109</v>
      </c>
      <c r="D1188" s="9">
        <v>15</v>
      </c>
      <c r="E1188" s="9" t="s">
        <v>14</v>
      </c>
      <c r="F1188" s="6" t="s">
        <v>42</v>
      </c>
      <c r="G1188" s="6" t="s">
        <v>16</v>
      </c>
      <c r="H1188" s="9" t="s">
        <v>680</v>
      </c>
      <c r="I1188" s="6" t="s">
        <v>1439</v>
      </c>
      <c r="J1188" s="6" t="s">
        <v>7</v>
      </c>
      <c r="K1188" s="6" t="s">
        <v>124</v>
      </c>
      <c r="L1188" s="6" t="s">
        <v>71</v>
      </c>
    </row>
    <row r="1189" spans="1:12">
      <c r="A1189" s="5" t="s">
        <v>1827</v>
      </c>
      <c r="B1189" s="20">
        <v>508</v>
      </c>
      <c r="C1189" s="9">
        <v>177</v>
      </c>
      <c r="D1189" s="9">
        <v>17</v>
      </c>
      <c r="E1189" s="9" t="s">
        <v>10</v>
      </c>
      <c r="F1189" s="6" t="s">
        <v>32</v>
      </c>
      <c r="G1189" s="6" t="s">
        <v>23</v>
      </c>
      <c r="H1189" s="9" t="s">
        <v>1828</v>
      </c>
      <c r="I1189" s="6" t="s">
        <v>1829</v>
      </c>
      <c r="J1189" s="6" t="s">
        <v>22</v>
      </c>
      <c r="K1189" s="6" t="s">
        <v>117</v>
      </c>
      <c r="L1189" s="6" t="s">
        <v>62</v>
      </c>
    </row>
    <row r="1190" spans="1:12">
      <c r="A1190" s="3" t="s">
        <v>1827</v>
      </c>
      <c r="B1190" s="19">
        <v>508</v>
      </c>
      <c r="C1190" s="8">
        <v>177</v>
      </c>
      <c r="D1190" s="8">
        <v>17</v>
      </c>
      <c r="E1190" s="8" t="s">
        <v>10</v>
      </c>
      <c r="F1190" s="4" t="s">
        <v>32</v>
      </c>
      <c r="G1190" s="4" t="s">
        <v>23</v>
      </c>
      <c r="H1190" s="8" t="s">
        <v>1830</v>
      </c>
      <c r="I1190" s="4" t="s">
        <v>1831</v>
      </c>
      <c r="J1190" s="4" t="s">
        <v>11</v>
      </c>
      <c r="K1190" s="4" t="s">
        <v>156</v>
      </c>
      <c r="L1190" s="4" t="s">
        <v>35</v>
      </c>
    </row>
    <row r="1191" spans="1:12">
      <c r="A1191" s="5" t="s">
        <v>1827</v>
      </c>
      <c r="B1191" s="20">
        <v>508</v>
      </c>
      <c r="C1191" s="9">
        <v>177</v>
      </c>
      <c r="D1191" s="9">
        <v>17</v>
      </c>
      <c r="E1191" s="9" t="s">
        <v>10</v>
      </c>
      <c r="F1191" s="6" t="s">
        <v>32</v>
      </c>
      <c r="G1191" s="6" t="s">
        <v>23</v>
      </c>
      <c r="H1191" s="9" t="s">
        <v>597</v>
      </c>
      <c r="I1191" s="6" t="s">
        <v>1832</v>
      </c>
      <c r="J1191" s="6" t="s">
        <v>19</v>
      </c>
      <c r="K1191" s="6" t="s">
        <v>126</v>
      </c>
      <c r="L1191" s="6" t="s">
        <v>71</v>
      </c>
    </row>
    <row r="1192" spans="1:12">
      <c r="A1192" s="3" t="s">
        <v>1827</v>
      </c>
      <c r="B1192" s="19">
        <v>508</v>
      </c>
      <c r="C1192" s="8">
        <v>177</v>
      </c>
      <c r="D1192" s="8">
        <v>17</v>
      </c>
      <c r="E1192" s="8" t="s">
        <v>10</v>
      </c>
      <c r="F1192" s="4" t="s">
        <v>32</v>
      </c>
      <c r="G1192" s="4" t="s">
        <v>23</v>
      </c>
      <c r="H1192" s="8" t="s">
        <v>1833</v>
      </c>
      <c r="I1192" s="4" t="s">
        <v>1834</v>
      </c>
      <c r="J1192" s="4" t="s">
        <v>19</v>
      </c>
      <c r="K1192" s="4" t="s">
        <v>210</v>
      </c>
      <c r="L1192" s="4" t="s">
        <v>94</v>
      </c>
    </row>
    <row r="1193" spans="1:12">
      <c r="A1193" s="5" t="s">
        <v>1827</v>
      </c>
      <c r="B1193" s="20">
        <v>508</v>
      </c>
      <c r="C1193" s="9">
        <v>177</v>
      </c>
      <c r="D1193" s="9">
        <v>17</v>
      </c>
      <c r="E1193" s="9" t="s">
        <v>10</v>
      </c>
      <c r="F1193" s="6" t="s">
        <v>32</v>
      </c>
      <c r="G1193" s="6" t="s">
        <v>23</v>
      </c>
      <c r="H1193" s="11">
        <v>43993</v>
      </c>
      <c r="I1193" s="6" t="s">
        <v>1835</v>
      </c>
      <c r="J1193" s="6" t="s">
        <v>11</v>
      </c>
      <c r="K1193" s="6" t="s">
        <v>120</v>
      </c>
      <c r="L1193" s="6" t="s">
        <v>45</v>
      </c>
    </row>
    <row r="1194" spans="1:12">
      <c r="A1194" s="3" t="s">
        <v>1827</v>
      </c>
      <c r="B1194" s="19">
        <v>508</v>
      </c>
      <c r="C1194" s="8">
        <v>177</v>
      </c>
      <c r="D1194" s="8">
        <v>17</v>
      </c>
      <c r="E1194" s="8" t="s">
        <v>10</v>
      </c>
      <c r="F1194" s="4" t="s">
        <v>32</v>
      </c>
      <c r="G1194" s="4" t="s">
        <v>23</v>
      </c>
      <c r="H1194" s="8" t="s">
        <v>1836</v>
      </c>
      <c r="I1194" s="4" t="s">
        <v>1837</v>
      </c>
      <c r="J1194" s="4" t="s">
        <v>19</v>
      </c>
      <c r="K1194" s="4" t="s">
        <v>108</v>
      </c>
      <c r="L1194" s="4" t="s">
        <v>81</v>
      </c>
    </row>
    <row r="1195" spans="1:12">
      <c r="A1195" s="13" t="s">
        <v>114</v>
      </c>
      <c r="B1195" s="21">
        <v>500</v>
      </c>
      <c r="C1195" s="14">
        <v>3930</v>
      </c>
      <c r="D1195" s="14">
        <v>14</v>
      </c>
      <c r="E1195" s="14" t="s">
        <v>10</v>
      </c>
      <c r="F1195" s="15" t="s">
        <v>34</v>
      </c>
      <c r="G1195" s="15" t="s">
        <v>16</v>
      </c>
      <c r="H1195" s="14" t="s">
        <v>185</v>
      </c>
      <c r="I1195" s="15" t="s">
        <v>186</v>
      </c>
      <c r="J1195" s="15" t="s">
        <v>19</v>
      </c>
      <c r="K1195" s="15" t="s">
        <v>126</v>
      </c>
      <c r="L1195" s="15" t="s">
        <v>78</v>
      </c>
    </row>
  </sheetData>
  <autoFilter ref="A1:L1195" xr:uid="{00000000-0001-0000-0000-000000000000}">
    <sortState xmlns:xlrd2="http://schemas.microsoft.com/office/spreadsheetml/2017/richdata2" ref="A2:L1195">
      <sortCondition descending="1" ref="B1:B119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D63C-D9E5-40E5-B6C2-05AFDF297BEA}">
  <dimension ref="A1:S39"/>
  <sheetViews>
    <sheetView showGridLines="0" tabSelected="1" workbookViewId="0">
      <pane ySplit="10" topLeftCell="A11" activePane="bottomLeft" state="frozen"/>
      <selection pane="bottomLeft" activeCell="A11" sqref="A11:XFD11"/>
    </sheetView>
  </sheetViews>
  <sheetFormatPr defaultRowHeight="15"/>
  <sheetData>
    <row r="1" spans="1:19" ht="15" customHeight="1">
      <c r="A1" s="27" t="s">
        <v>1871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6"/>
      <c r="Q1" s="26"/>
      <c r="R1" s="26"/>
      <c r="S1" s="26"/>
    </row>
    <row r="2" spans="1:19" ht="1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6"/>
      <c r="Q2" s="26"/>
      <c r="R2" s="26"/>
      <c r="S2" s="26"/>
    </row>
    <row r="3" spans="1:19" ht="15" customHeight="1">
      <c r="A3" s="28" t="s">
        <v>1872</v>
      </c>
      <c r="B3" s="29"/>
      <c r="C3" s="29"/>
      <c r="D3" s="29"/>
      <c r="E3" s="28" t="str">
        <f>UPPER("Category: Electronics | Furniture | Office Supplies")</f>
        <v>CATEGORY: ELECTRONICS | FURNITURE | OFFICE SUPPLIES</v>
      </c>
      <c r="F3" s="29"/>
      <c r="G3" s="29"/>
      <c r="H3" s="29"/>
      <c r="I3" s="32" t="s">
        <v>1873</v>
      </c>
      <c r="J3" s="33"/>
      <c r="K3" s="33"/>
      <c r="L3" s="36" t="s">
        <v>1874</v>
      </c>
      <c r="M3" s="37"/>
      <c r="N3" s="37"/>
      <c r="O3" s="38"/>
      <c r="P3" s="26"/>
      <c r="Q3" s="26"/>
      <c r="R3" s="26"/>
      <c r="S3" s="26"/>
    </row>
    <row r="4" spans="1:19" ht="15" customHeight="1">
      <c r="A4" s="30"/>
      <c r="B4" s="31"/>
      <c r="C4" s="31"/>
      <c r="D4" s="31"/>
      <c r="E4" s="30"/>
      <c r="F4" s="31"/>
      <c r="G4" s="31"/>
      <c r="H4" s="31"/>
      <c r="I4" s="34"/>
      <c r="J4" s="35"/>
      <c r="K4" s="35"/>
      <c r="L4" s="39"/>
      <c r="M4" s="40"/>
      <c r="N4" s="40"/>
      <c r="O4" s="41"/>
      <c r="P4" s="26"/>
      <c r="Q4" s="26"/>
      <c r="R4" s="26"/>
      <c r="S4" s="26"/>
    </row>
    <row r="5" spans="1:19">
      <c r="A5" s="55" t="s">
        <v>1875</v>
      </c>
      <c r="B5" s="56"/>
      <c r="C5" s="56"/>
      <c r="D5" s="58" t="s">
        <v>1876</v>
      </c>
      <c r="E5" s="59"/>
      <c r="F5" s="59"/>
      <c r="G5" s="58" t="s">
        <v>1877</v>
      </c>
      <c r="H5" s="59"/>
      <c r="I5" s="59"/>
      <c r="J5" s="60" t="s">
        <v>1878</v>
      </c>
      <c r="K5" s="61"/>
      <c r="L5" s="61"/>
      <c r="M5" s="42" t="s">
        <v>1879</v>
      </c>
      <c r="N5" s="43"/>
      <c r="O5" s="44"/>
      <c r="P5" s="26"/>
      <c r="Q5" s="26"/>
      <c r="R5" s="26"/>
      <c r="S5" s="26"/>
    </row>
    <row r="6" spans="1:19">
      <c r="A6" s="57"/>
      <c r="B6" s="56"/>
      <c r="C6" s="56"/>
      <c r="D6" s="58"/>
      <c r="E6" s="59"/>
      <c r="F6" s="59"/>
      <c r="G6" s="58"/>
      <c r="H6" s="59"/>
      <c r="I6" s="59"/>
      <c r="J6" s="60"/>
      <c r="K6" s="61"/>
      <c r="L6" s="61"/>
      <c r="M6" s="42"/>
      <c r="N6" s="43"/>
      <c r="O6" s="44"/>
      <c r="P6" s="26"/>
      <c r="Q6" s="26"/>
      <c r="R6" s="26"/>
      <c r="S6" s="26"/>
    </row>
    <row r="7" spans="1:19">
      <c r="A7" s="57"/>
      <c r="B7" s="56"/>
      <c r="C7" s="56"/>
      <c r="D7" s="58"/>
      <c r="E7" s="59"/>
      <c r="F7" s="59"/>
      <c r="G7" s="58"/>
      <c r="H7" s="59"/>
      <c r="I7" s="59"/>
      <c r="J7" s="60"/>
      <c r="K7" s="61"/>
      <c r="L7" s="61"/>
      <c r="M7" s="42"/>
      <c r="N7" s="43"/>
      <c r="O7" s="44"/>
      <c r="P7" s="26"/>
      <c r="Q7" s="26"/>
      <c r="R7" s="26"/>
      <c r="S7" s="26"/>
    </row>
    <row r="8" spans="1:19">
      <c r="A8" s="45">
        <f>Analysis!B1</f>
        <v>6173150</v>
      </c>
      <c r="B8" s="46"/>
      <c r="C8" s="46"/>
      <c r="D8" s="45">
        <f>Analysis!B2</f>
        <v>1610697</v>
      </c>
      <c r="E8" s="46"/>
      <c r="F8" s="46"/>
      <c r="G8" s="45">
        <f>Analysis!B8</f>
        <v>1194</v>
      </c>
      <c r="H8" s="46"/>
      <c r="I8" s="46"/>
      <c r="J8" s="62">
        <f>Analysis!B7</f>
        <v>5170.1423785594643</v>
      </c>
      <c r="K8" s="46"/>
      <c r="L8" s="46"/>
      <c r="M8" s="45">
        <f>Analysis!B3</f>
        <v>12745</v>
      </c>
      <c r="N8" s="46"/>
      <c r="O8" s="47"/>
      <c r="P8" s="26"/>
      <c r="Q8" s="26"/>
      <c r="R8" s="26"/>
      <c r="S8" s="26"/>
    </row>
    <row r="9" spans="1:19">
      <c r="A9" s="48"/>
      <c r="B9" s="49"/>
      <c r="C9" s="49"/>
      <c r="D9" s="48"/>
      <c r="E9" s="49"/>
      <c r="F9" s="49"/>
      <c r="G9" s="48"/>
      <c r="H9" s="49"/>
      <c r="I9" s="49"/>
      <c r="J9" s="48"/>
      <c r="K9" s="49"/>
      <c r="L9" s="49"/>
      <c r="M9" s="48"/>
      <c r="N9" s="49"/>
      <c r="O9" s="50"/>
      <c r="P9" s="26"/>
      <c r="Q9" s="26"/>
      <c r="R9" s="26"/>
      <c r="S9" s="26"/>
    </row>
    <row r="10" spans="1:19">
      <c r="A10" s="51"/>
      <c r="B10" s="52"/>
      <c r="C10" s="52"/>
      <c r="D10" s="51"/>
      <c r="E10" s="52"/>
      <c r="F10" s="52"/>
      <c r="G10" s="51"/>
      <c r="H10" s="52"/>
      <c r="I10" s="52"/>
      <c r="J10" s="51"/>
      <c r="K10" s="52"/>
      <c r="L10" s="52"/>
      <c r="M10" s="51"/>
      <c r="N10" s="52"/>
      <c r="O10" s="53"/>
      <c r="P10" s="26"/>
      <c r="Q10" s="26"/>
      <c r="R10" s="26"/>
      <c r="S10" s="26"/>
    </row>
    <row r="11" spans="1:19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26"/>
      <c r="Q11" s="26"/>
      <c r="R11" s="26"/>
      <c r="S11" s="26"/>
    </row>
    <row r="12" spans="1:19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26"/>
      <c r="Q12" s="26"/>
      <c r="R12" s="26"/>
      <c r="S12" s="26"/>
    </row>
    <row r="13" spans="1:19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26"/>
      <c r="Q13" s="26"/>
      <c r="R13" s="26"/>
      <c r="S13" s="26"/>
    </row>
    <row r="14" spans="1:19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6"/>
      <c r="Q14" s="26"/>
      <c r="R14" s="26"/>
      <c r="S14" s="26"/>
    </row>
    <row r="15" spans="1:19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26"/>
      <c r="Q15" s="26"/>
      <c r="R15" s="26"/>
      <c r="S15" s="26"/>
    </row>
    <row r="16" spans="1:19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26"/>
      <c r="Q16" s="26"/>
      <c r="R16" s="26"/>
      <c r="S16" s="26"/>
    </row>
    <row r="17" spans="1:19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26"/>
      <c r="Q17" s="26"/>
      <c r="R17" s="26"/>
      <c r="S17" s="26"/>
    </row>
    <row r="18" spans="1:19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26"/>
      <c r="Q18" s="26"/>
      <c r="R18" s="26"/>
      <c r="S18" s="26"/>
    </row>
    <row r="19" spans="1: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26"/>
      <c r="Q19" s="26"/>
      <c r="R19" s="26"/>
      <c r="S19" s="26"/>
    </row>
    <row r="20" spans="1:19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26"/>
      <c r="Q20" s="26"/>
      <c r="R20" s="26"/>
      <c r="S20" s="26"/>
    </row>
    <row r="21" spans="1:19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26"/>
      <c r="Q21" s="26"/>
      <c r="R21" s="26"/>
      <c r="S21" s="26"/>
    </row>
    <row r="22" spans="1:19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26"/>
      <c r="Q22" s="26"/>
      <c r="R22" s="26"/>
      <c r="S22" s="26"/>
    </row>
    <row r="23" spans="1:19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26"/>
      <c r="Q23" s="26"/>
      <c r="R23" s="26"/>
      <c r="S23" s="26"/>
    </row>
    <row r="24" spans="1:19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26"/>
      <c r="Q24" s="26"/>
      <c r="R24" s="26"/>
      <c r="S24" s="26"/>
    </row>
    <row r="25" spans="1:19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spans="1:19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spans="1:19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spans="1:19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spans="1:1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 spans="1:19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</row>
    <row r="31" spans="1:19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</row>
    <row r="32" spans="1:19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</row>
    <row r="33" spans="1:19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19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</row>
    <row r="35" spans="1:19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</row>
    <row r="36" spans="1:19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</row>
    <row r="37" spans="1:19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19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</row>
    <row r="39" spans="1:1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</row>
  </sheetData>
  <mergeCells count="18">
    <mergeCell ref="G8:I10"/>
    <mergeCell ref="J8:L10"/>
    <mergeCell ref="P1:S39"/>
    <mergeCell ref="A1:O2"/>
    <mergeCell ref="E3:H4"/>
    <mergeCell ref="A3:D4"/>
    <mergeCell ref="I3:K4"/>
    <mergeCell ref="L3:O4"/>
    <mergeCell ref="M5:O7"/>
    <mergeCell ref="M8:O10"/>
    <mergeCell ref="A11:O24"/>
    <mergeCell ref="A25:O39"/>
    <mergeCell ref="A5:C7"/>
    <mergeCell ref="D5:F7"/>
    <mergeCell ref="G5:I7"/>
    <mergeCell ref="J5:L7"/>
    <mergeCell ref="A8:C10"/>
    <mergeCell ref="D8:F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B1FD-8B89-491F-BFA7-C38CC904EDF5}">
  <dimension ref="A1:E22"/>
  <sheetViews>
    <sheetView workbookViewId="0">
      <selection activeCell="B8" sqref="B8"/>
    </sheetView>
  </sheetViews>
  <sheetFormatPr defaultRowHeight="15"/>
  <cols>
    <col min="1" max="1" width="18.7109375" customWidth="1"/>
    <col min="2" max="2" width="20" customWidth="1"/>
    <col min="4" max="4" width="15.5703125" bestFit="1" customWidth="1"/>
    <col min="5" max="5" width="10.28515625" customWidth="1"/>
  </cols>
  <sheetData>
    <row r="1" spans="1:5">
      <c r="A1" t="s">
        <v>1880</v>
      </c>
      <c r="B1">
        <f>SUM(sales_dataset!B:B)</f>
        <v>6173150</v>
      </c>
      <c r="D1" s="26" t="s">
        <v>1881</v>
      </c>
      <c r="E1" s="26"/>
    </row>
    <row r="2" spans="1:5">
      <c r="A2" t="s">
        <v>1876</v>
      </c>
      <c r="B2">
        <f>SUM(sales_dataset!C:C)</f>
        <v>1610697</v>
      </c>
      <c r="D2" s="16" t="s">
        <v>1882</v>
      </c>
      <c r="E2" s="16">
        <f>COUNTIF(sales_dataset!E:E,"Office Supplies")</f>
        <v>399</v>
      </c>
    </row>
    <row r="3" spans="1:5">
      <c r="A3" s="16" t="s">
        <v>1879</v>
      </c>
      <c r="B3" s="16">
        <f>SUM(sales_dataset!D:D)</f>
        <v>12745</v>
      </c>
      <c r="D3" t="s">
        <v>10</v>
      </c>
      <c r="E3" s="16">
        <f>COUNTIF(sales_dataset!E:E,"Furniture")</f>
        <v>407</v>
      </c>
    </row>
    <row r="4" spans="1:5">
      <c r="D4" t="s">
        <v>6</v>
      </c>
      <c r="E4" s="16">
        <f>COUNTIF(sales_dataset!E:E,"Electronics")</f>
        <v>388</v>
      </c>
    </row>
    <row r="5" spans="1:5">
      <c r="A5" t="s">
        <v>1883</v>
      </c>
      <c r="B5" s="17">
        <f>MAX(sales_dataset!B:B)</f>
        <v>9992</v>
      </c>
      <c r="E5" s="16"/>
    </row>
    <row r="6" spans="1:5">
      <c r="A6" t="s">
        <v>1884</v>
      </c>
      <c r="B6" s="17">
        <f>MIN(sales_dataset!B:B)</f>
        <v>500</v>
      </c>
      <c r="E6" s="16"/>
    </row>
    <row r="7" spans="1:5">
      <c r="A7" s="16" t="s">
        <v>1885</v>
      </c>
      <c r="B7" s="17">
        <f>AVERAGE(sales_dataset!B:B)</f>
        <v>5170.1423785594643</v>
      </c>
    </row>
    <row r="8" spans="1:5">
      <c r="A8" t="s">
        <v>1877</v>
      </c>
      <c r="B8">
        <f>COUNTA(sales_dataset!A2:A1195)</f>
        <v>1194</v>
      </c>
    </row>
    <row r="9" spans="1:5">
      <c r="A9" s="26" t="s">
        <v>1886</v>
      </c>
      <c r="B9" s="26"/>
    </row>
    <row r="10" spans="1:5">
      <c r="A10" t="s">
        <v>14</v>
      </c>
      <c r="B10">
        <f>SUMIF(sales_dataset!E2:E1195, "Office Supplies",sales_dataset!B2:B1195)</f>
        <v>2089510</v>
      </c>
    </row>
    <row r="11" spans="1:5">
      <c r="A11" t="s">
        <v>10</v>
      </c>
      <c r="B11">
        <f>SUMIF(sales_dataset!E:E,"Furniture",sales_dataset!B:B)</f>
        <v>2029184</v>
      </c>
    </row>
    <row r="12" spans="1:5">
      <c r="A12" t="s">
        <v>6</v>
      </c>
      <c r="B12">
        <f>SUMIF(sales_dataset!E:E,"Electronics",sales_dataset!B:B)</f>
        <v>2054456</v>
      </c>
    </row>
    <row r="13" spans="1:5">
      <c r="A13" s="26" t="s">
        <v>1887</v>
      </c>
      <c r="B13" s="26"/>
    </row>
    <row r="14" spans="1:5">
      <c r="A14" t="s">
        <v>14</v>
      </c>
      <c r="B14">
        <f>SUMIF(sales_dataset!E2:E1195, "Office Supplies",sales_dataset!C2:C1195)</f>
        <v>551575</v>
      </c>
    </row>
    <row r="15" spans="1:5">
      <c r="A15" t="s">
        <v>10</v>
      </c>
      <c r="B15">
        <f>SUMIF(sales_dataset!E2:E1195, "Furniture",sales_dataset!C2:C1195)</f>
        <v>540542</v>
      </c>
    </row>
    <row r="16" spans="1:5">
      <c r="A16" t="s">
        <v>6</v>
      </c>
      <c r="B16">
        <f>SUMIF(sales_dataset!E2:E1195, "Electronics",sales_dataset!C2:C1195)</f>
        <v>518580</v>
      </c>
    </row>
    <row r="17" spans="1:2">
      <c r="A17" s="26" t="s">
        <v>1888</v>
      </c>
      <c r="B17" s="26"/>
    </row>
    <row r="18" spans="1:2">
      <c r="A18" t="s">
        <v>1889</v>
      </c>
      <c r="B18">
        <f>COUNTIF(sales_dataset!G2:G1195,"Debit Card")</f>
        <v>260</v>
      </c>
    </row>
    <row r="19" spans="1:2">
      <c r="A19" t="s">
        <v>1890</v>
      </c>
      <c r="B19">
        <f>COUNTIF(sales_dataset!G2:G1195,"Credit Card")</f>
        <v>258</v>
      </c>
    </row>
    <row r="20" spans="1:2">
      <c r="A20" t="s">
        <v>23</v>
      </c>
      <c r="B20">
        <f>COUNTIF(sales_dataset!G2:G1195,"UPI")</f>
        <v>252</v>
      </c>
    </row>
    <row r="21" spans="1:2">
      <c r="A21" t="s">
        <v>20</v>
      </c>
      <c r="B21">
        <f>COUNTIF(sales_dataset!G2:G1195,"EMI")</f>
        <v>218</v>
      </c>
    </row>
    <row r="22" spans="1:2">
      <c r="A22" t="s">
        <v>8</v>
      </c>
      <c r="B22">
        <f>COUNTIF(sales_dataset!G2:G1195,"COD")</f>
        <v>206</v>
      </c>
    </row>
  </sheetData>
  <mergeCells count="4">
    <mergeCell ref="A9:B9"/>
    <mergeCell ref="A13:B13"/>
    <mergeCell ref="A17:B17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DDD9-F31C-4475-8C85-C00C73004508}">
  <dimension ref="A1:F1195"/>
  <sheetViews>
    <sheetView workbookViewId="0">
      <selection activeCell="F5" sqref="F5"/>
    </sheetView>
  </sheetViews>
  <sheetFormatPr defaultRowHeight="15"/>
  <cols>
    <col min="1" max="1" width="27.42578125" customWidth="1"/>
    <col min="2" max="2" width="24.140625" customWidth="1"/>
    <col min="3" max="3" width="21.140625" customWidth="1"/>
    <col min="4" max="4" width="27.140625" customWidth="1"/>
  </cols>
  <sheetData>
    <row r="1" spans="1:6">
      <c r="A1" s="25" t="s">
        <v>1891</v>
      </c>
      <c r="B1" s="25" t="s">
        <v>1892</v>
      </c>
      <c r="C1" s="25" t="s">
        <v>1893</v>
      </c>
      <c r="D1" s="25" t="s">
        <v>1894</v>
      </c>
    </row>
    <row r="2" spans="1:6">
      <c r="A2" s="4" t="s">
        <v>107</v>
      </c>
      <c r="B2" t="str">
        <f>VLOOKUP(A2,sales_dataset!I:J,2,0)</f>
        <v>New York</v>
      </c>
      <c r="C2" t="str">
        <f>VLOOKUP(A2,sales_dataset!I:K,3,0)</f>
        <v>Rochester</v>
      </c>
      <c r="D2" t="str">
        <f>IFERROR(_xlfn.XLOOKUP(A2,sales_dataset!I:I,sales_dataset!G:G),"Not Found")</f>
        <v>Debit Card</v>
      </c>
    </row>
    <row r="3" spans="1:6">
      <c r="A3" s="6" t="s">
        <v>110</v>
      </c>
      <c r="B3" t="str">
        <f>VLOOKUP(A3,sales_dataset!I:J,2,0)</f>
        <v>Texas</v>
      </c>
      <c r="C3" t="str">
        <f>VLOOKUP(A3,sales_dataset!I:K,3,0)</f>
        <v>Austin</v>
      </c>
      <c r="D3" t="str">
        <f>IFERROR(_xlfn.XLOOKUP(A3,sales_dataset!I:I,sales_dataset!G:G),"Not Found")</f>
        <v>Debit Card</v>
      </c>
      <c r="F3">
        <f>LEN(TRIM(A2))-LEN(A2)</f>
        <v>0</v>
      </c>
    </row>
    <row r="4" spans="1:6">
      <c r="A4" s="4" t="s">
        <v>113</v>
      </c>
      <c r="B4" t="str">
        <f>VLOOKUP(A4,sales_dataset!I:J,2,0)</f>
        <v>New York</v>
      </c>
      <c r="C4" t="str">
        <f>VLOOKUP(A4,sales_dataset!I:K,3,0)</f>
        <v>Rochester</v>
      </c>
      <c r="D4" t="str">
        <f>IFERROR(_xlfn.XLOOKUP(A4,sales_dataset!I:I,sales_dataset!G:G),"Not Found")</f>
        <v>Debit Card</v>
      </c>
      <c r="F4" t="str">
        <f>TRIM(A5)</f>
        <v>Tammy Anthony</v>
      </c>
    </row>
    <row r="5" spans="1:6">
      <c r="A5" s="6" t="s">
        <v>116</v>
      </c>
      <c r="B5" t="str">
        <f>VLOOKUP(A5,sales_dataset!I:J,2,0)</f>
        <v>Ohio</v>
      </c>
      <c r="C5" t="str">
        <f>VLOOKUP(A5,sales_dataset!I:K,3,0)</f>
        <v>Cleveland</v>
      </c>
      <c r="D5" t="str">
        <f>IFERROR(_xlfn.XLOOKUP(A5,sales_dataset!I:I,sales_dataset!G:G),"Not Found")</f>
        <v>Debit Card</v>
      </c>
    </row>
    <row r="6" spans="1:6">
      <c r="A6" s="6" t="s">
        <v>119</v>
      </c>
      <c r="B6" t="str">
        <f>VLOOKUP(A6,sales_dataset!I:J,2,0)</f>
        <v>Florida</v>
      </c>
      <c r="C6" t="str">
        <f>VLOOKUP(A6,sales_dataset!I:K,3,0)</f>
        <v>Orlando</v>
      </c>
      <c r="D6" t="str">
        <f>IFERROR(_xlfn.XLOOKUP(A6,sales_dataset!I:I,sales_dataset!G:G),"Not Found")</f>
        <v>Debit Card</v>
      </c>
    </row>
    <row r="7" spans="1:6">
      <c r="A7" s="4" t="s">
        <v>123</v>
      </c>
      <c r="B7" t="str">
        <f>VLOOKUP(A7,sales_dataset!I:J,2,0)</f>
        <v>California</v>
      </c>
      <c r="C7" t="str">
        <f>VLOOKUP(A7,sales_dataset!I:K,3,0)</f>
        <v>San Francisco</v>
      </c>
      <c r="D7" t="str">
        <f>IFERROR(_xlfn.XLOOKUP(A7,sales_dataset!I:I,sales_dataset!G:G),"Not Found")</f>
        <v>COD</v>
      </c>
    </row>
    <row r="8" spans="1:6">
      <c r="A8" s="6" t="s">
        <v>125</v>
      </c>
      <c r="B8" t="str">
        <f>VLOOKUP(A8,sales_dataset!I:J,2,0)</f>
        <v>New York</v>
      </c>
      <c r="C8" t="str">
        <f>VLOOKUP(A8,sales_dataset!I:K,3,0)</f>
        <v>Buffalo</v>
      </c>
      <c r="D8" t="str">
        <f>IFERROR(_xlfn.XLOOKUP(A8,sales_dataset!I:I,sales_dataset!G:G),"Not Found")</f>
        <v>COD</v>
      </c>
    </row>
    <row r="9" spans="1:6">
      <c r="A9" s="4" t="s">
        <v>128</v>
      </c>
      <c r="B9" t="str">
        <f>VLOOKUP(A9,sales_dataset!I:J,2,0)</f>
        <v>Texas</v>
      </c>
      <c r="C9" t="str">
        <f>VLOOKUP(A9,sales_dataset!I:K,3,0)</f>
        <v>Dallas</v>
      </c>
      <c r="D9" t="str">
        <f>IFERROR(_xlfn.XLOOKUP(A9,sales_dataset!I:I,sales_dataset!G:G),"Not Found")</f>
        <v>Debit Card</v>
      </c>
    </row>
    <row r="10" spans="1:6">
      <c r="A10" s="4" t="s">
        <v>131</v>
      </c>
      <c r="B10" t="str">
        <f>VLOOKUP(A10,sales_dataset!I:J,2,0)</f>
        <v>Illinois</v>
      </c>
      <c r="C10" t="str">
        <f>VLOOKUP(A10,sales_dataset!I:K,3,0)</f>
        <v>Chicago</v>
      </c>
      <c r="D10" t="str">
        <f>IFERROR(_xlfn.XLOOKUP(A10,sales_dataset!I:I,sales_dataset!G:G),"Not Found")</f>
        <v>EMI</v>
      </c>
    </row>
    <row r="11" spans="1:6">
      <c r="A11" s="4" t="s">
        <v>134</v>
      </c>
      <c r="B11" t="str">
        <f>VLOOKUP(A11,sales_dataset!I:J,2,0)</f>
        <v>Ohio</v>
      </c>
      <c r="C11" t="str">
        <f>VLOOKUP(A11,sales_dataset!I:K,3,0)</f>
        <v>Cleveland</v>
      </c>
      <c r="D11" t="str">
        <f>IFERROR(_xlfn.XLOOKUP(A11,sales_dataset!I:I,sales_dataset!G:G),"Not Found")</f>
        <v>UPI</v>
      </c>
    </row>
    <row r="12" spans="1:6">
      <c r="A12" s="6" t="s">
        <v>135</v>
      </c>
      <c r="B12" t="str">
        <f>VLOOKUP(A12,sales_dataset!I:J,2,0)</f>
        <v>Florida</v>
      </c>
      <c r="C12" t="str">
        <f>VLOOKUP(A12,sales_dataset!I:K,3,0)</f>
        <v>Tampa</v>
      </c>
      <c r="D12" t="str">
        <f>IFERROR(_xlfn.XLOOKUP(A12,sales_dataset!I:I,sales_dataset!G:G),"Not Found")</f>
        <v>UPI</v>
      </c>
    </row>
    <row r="13" spans="1:6">
      <c r="A13" s="6" t="s">
        <v>139</v>
      </c>
      <c r="B13" t="str">
        <f>VLOOKUP(A13,sales_dataset!I:J,2,0)</f>
        <v>New York</v>
      </c>
      <c r="C13" t="str">
        <f>VLOOKUP(A13,sales_dataset!I:K,3,0)</f>
        <v>Buffalo</v>
      </c>
      <c r="D13" t="str">
        <f>IFERROR(_xlfn.XLOOKUP(A13,sales_dataset!I:I,sales_dataset!G:G),"Not Found")</f>
        <v>Credit Card</v>
      </c>
    </row>
    <row r="14" spans="1:6">
      <c r="A14" s="4" t="s">
        <v>140</v>
      </c>
      <c r="B14" t="str">
        <f>VLOOKUP(A14,sales_dataset!I:J,2,0)</f>
        <v>New York</v>
      </c>
      <c r="C14" t="str">
        <f>VLOOKUP(A14,sales_dataset!I:K,3,0)</f>
        <v>Rochester</v>
      </c>
      <c r="D14" t="str">
        <f>IFERROR(_xlfn.XLOOKUP(A14,sales_dataset!I:I,sales_dataset!G:G),"Not Found")</f>
        <v>Credit Card</v>
      </c>
    </row>
    <row r="15" spans="1:6">
      <c r="A15" s="6" t="s">
        <v>143</v>
      </c>
      <c r="B15" t="str">
        <f>VLOOKUP(A15,sales_dataset!I:J,2,0)</f>
        <v>Ohio</v>
      </c>
      <c r="C15" t="str">
        <f>VLOOKUP(A15,sales_dataset!I:K,3,0)</f>
        <v>Cleveland</v>
      </c>
      <c r="D15" t="str">
        <f>IFERROR(_xlfn.XLOOKUP(A15,sales_dataset!I:I,sales_dataset!G:G),"Not Found")</f>
        <v>COD</v>
      </c>
    </row>
    <row r="16" spans="1:6">
      <c r="A16" s="4" t="s">
        <v>145</v>
      </c>
      <c r="B16" t="str">
        <f>VLOOKUP(A16,sales_dataset!I:J,2,0)</f>
        <v>Texas</v>
      </c>
      <c r="C16" t="str">
        <f>VLOOKUP(A16,sales_dataset!I:K,3,0)</f>
        <v>Austin</v>
      </c>
      <c r="D16" t="str">
        <f>IFERROR(_xlfn.XLOOKUP(A16,sales_dataset!I:I,sales_dataset!G:G),"Not Found")</f>
        <v>COD</v>
      </c>
    </row>
    <row r="17" spans="1:4">
      <c r="A17" s="4" t="s">
        <v>148</v>
      </c>
      <c r="B17" t="str">
        <f>VLOOKUP(A17,sales_dataset!I:J,2,0)</f>
        <v>Texas</v>
      </c>
      <c r="C17" t="str">
        <f>VLOOKUP(A17,sales_dataset!I:K,3,0)</f>
        <v>Dallas</v>
      </c>
      <c r="D17" t="str">
        <f>IFERROR(_xlfn.XLOOKUP(A17,sales_dataset!I:I,sales_dataset!G:G),"Not Found")</f>
        <v>EMI</v>
      </c>
    </row>
    <row r="18" spans="1:4">
      <c r="A18" s="6" t="s">
        <v>149</v>
      </c>
      <c r="B18" t="str">
        <f>VLOOKUP(A18,sales_dataset!I:J,2,0)</f>
        <v>Florida</v>
      </c>
      <c r="C18" t="str">
        <f>VLOOKUP(A18,sales_dataset!I:K,3,0)</f>
        <v>Tampa</v>
      </c>
      <c r="D18" t="str">
        <f>IFERROR(_xlfn.XLOOKUP(A18,sales_dataset!I:I,sales_dataset!G:G),"Not Found")</f>
        <v>EMI</v>
      </c>
    </row>
    <row r="19" spans="1:4">
      <c r="A19" s="6" t="s">
        <v>152</v>
      </c>
      <c r="B19" t="str">
        <f>VLOOKUP(A19,sales_dataset!I:J,2,0)</f>
        <v>New York</v>
      </c>
      <c r="C19" t="str">
        <f>VLOOKUP(A19,sales_dataset!I:K,3,0)</f>
        <v>Rochester</v>
      </c>
      <c r="D19" t="str">
        <f>IFERROR(_xlfn.XLOOKUP(A19,sales_dataset!I:I,sales_dataset!G:G),"Not Found")</f>
        <v>COD</v>
      </c>
    </row>
    <row r="20" spans="1:4">
      <c r="A20" s="6" t="s">
        <v>155</v>
      </c>
      <c r="B20" t="str">
        <f>VLOOKUP(A20,sales_dataset!I:J,2,0)</f>
        <v>Florida</v>
      </c>
      <c r="C20" t="str">
        <f>VLOOKUP(A20,sales_dataset!I:K,3,0)</f>
        <v>Miami</v>
      </c>
      <c r="D20" t="str">
        <f>IFERROR(_xlfn.XLOOKUP(A20,sales_dataset!I:I,sales_dataset!G:G),"Not Found")</f>
        <v>EMI</v>
      </c>
    </row>
    <row r="21" spans="1:4">
      <c r="A21" s="4" t="s">
        <v>158</v>
      </c>
      <c r="B21" t="str">
        <f>VLOOKUP(A21,sales_dataset!I:J,2,0)</f>
        <v>Florida</v>
      </c>
      <c r="C21" t="str">
        <f>VLOOKUP(A21,sales_dataset!I:K,3,0)</f>
        <v>Miami</v>
      </c>
      <c r="D21" t="str">
        <f>IFERROR(_xlfn.XLOOKUP(A21,sales_dataset!I:I,sales_dataset!G:G),"Not Found")</f>
        <v>EMI</v>
      </c>
    </row>
    <row r="22" spans="1:4">
      <c r="A22" s="6" t="s">
        <v>161</v>
      </c>
      <c r="B22" t="str">
        <f>VLOOKUP(A22,sales_dataset!I:J,2,0)</f>
        <v>California</v>
      </c>
      <c r="C22" t="str">
        <f>VLOOKUP(A22,sales_dataset!I:K,3,0)</f>
        <v>San Diego</v>
      </c>
      <c r="D22" t="str">
        <f>IFERROR(_xlfn.XLOOKUP(A22,sales_dataset!I:I,sales_dataset!G:G),"Not Found")</f>
        <v>COD</v>
      </c>
    </row>
    <row r="23" spans="1:4">
      <c r="A23" s="6" t="s">
        <v>164</v>
      </c>
      <c r="B23" t="str">
        <f>VLOOKUP(A23,sales_dataset!I:J,2,0)</f>
        <v>Florida</v>
      </c>
      <c r="C23" t="str">
        <f>VLOOKUP(A23,sales_dataset!I:K,3,0)</f>
        <v>Miami</v>
      </c>
      <c r="D23" t="str">
        <f>IFERROR(_xlfn.XLOOKUP(A23,sales_dataset!I:I,sales_dataset!G:G),"Not Found")</f>
        <v>EMI</v>
      </c>
    </row>
    <row r="24" spans="1:4">
      <c r="A24" s="6" t="s">
        <v>167</v>
      </c>
      <c r="B24" t="str">
        <f>VLOOKUP(A24,sales_dataset!I:J,2,0)</f>
        <v>New York</v>
      </c>
      <c r="C24" t="str">
        <f>VLOOKUP(A24,sales_dataset!I:K,3,0)</f>
        <v>Buffalo</v>
      </c>
      <c r="D24" t="str">
        <f>IFERROR(_xlfn.XLOOKUP(A24,sales_dataset!I:I,sales_dataset!G:G),"Not Found")</f>
        <v>UPI</v>
      </c>
    </row>
    <row r="25" spans="1:4">
      <c r="A25" s="4" t="s">
        <v>168</v>
      </c>
      <c r="B25" t="str">
        <f>VLOOKUP(A25,sales_dataset!I:J,2,0)</f>
        <v>Florida</v>
      </c>
      <c r="C25" t="str">
        <f>VLOOKUP(A25,sales_dataset!I:K,3,0)</f>
        <v>Orlando</v>
      </c>
      <c r="D25" t="str">
        <f>IFERROR(_xlfn.XLOOKUP(A25,sales_dataset!I:I,sales_dataset!G:G),"Not Found")</f>
        <v>UPI</v>
      </c>
    </row>
    <row r="26" spans="1:4">
      <c r="A26" s="6" t="s">
        <v>170</v>
      </c>
      <c r="B26" t="str">
        <f>VLOOKUP(A26,sales_dataset!I:J,2,0)</f>
        <v>Illinois</v>
      </c>
      <c r="C26" t="str">
        <f>VLOOKUP(A26,sales_dataset!I:K,3,0)</f>
        <v>Springfield</v>
      </c>
      <c r="D26" t="str">
        <f>IFERROR(_xlfn.XLOOKUP(A26,sales_dataset!I:I,sales_dataset!G:G),"Not Found")</f>
        <v>UPI</v>
      </c>
    </row>
    <row r="27" spans="1:4">
      <c r="A27" s="4" t="s">
        <v>173</v>
      </c>
      <c r="B27" t="str">
        <f>VLOOKUP(A27,sales_dataset!I:J,2,0)</f>
        <v>New York</v>
      </c>
      <c r="C27" t="str">
        <f>VLOOKUP(A27,sales_dataset!I:K,3,0)</f>
        <v>Rochester</v>
      </c>
      <c r="D27" t="str">
        <f>IFERROR(_xlfn.XLOOKUP(A27,sales_dataset!I:I,sales_dataset!G:G),"Not Found")</f>
        <v>Debit Card</v>
      </c>
    </row>
    <row r="28" spans="1:4">
      <c r="A28" s="4" t="s">
        <v>176</v>
      </c>
      <c r="B28" t="str">
        <f>VLOOKUP(A28,sales_dataset!I:J,2,0)</f>
        <v>Ohio</v>
      </c>
      <c r="C28" t="str">
        <f>VLOOKUP(A28,sales_dataset!I:K,3,0)</f>
        <v>Cleveland</v>
      </c>
      <c r="D28" t="str">
        <f>IFERROR(_xlfn.XLOOKUP(A28,sales_dataset!I:I,sales_dataset!G:G),"Not Found")</f>
        <v>EMI</v>
      </c>
    </row>
    <row r="29" spans="1:4">
      <c r="A29" s="6" t="s">
        <v>178</v>
      </c>
      <c r="B29" t="str">
        <f>VLOOKUP(A29,sales_dataset!I:J,2,0)</f>
        <v>Ohio</v>
      </c>
      <c r="C29" t="str">
        <f>VLOOKUP(A29,sales_dataset!I:K,3,0)</f>
        <v>Columbus</v>
      </c>
      <c r="D29" t="str">
        <f>IFERROR(_xlfn.XLOOKUP(A29,sales_dataset!I:I,sales_dataset!G:G),"Not Found")</f>
        <v>Credit Card</v>
      </c>
    </row>
    <row r="30" spans="1:4">
      <c r="A30" s="4" t="s">
        <v>182</v>
      </c>
      <c r="B30" t="str">
        <f>VLOOKUP(A30,sales_dataset!I:J,2,0)</f>
        <v>California</v>
      </c>
      <c r="C30" t="str">
        <f>VLOOKUP(A30,sales_dataset!I:K,3,0)</f>
        <v>San Diego</v>
      </c>
      <c r="D30" t="str">
        <f>IFERROR(_xlfn.XLOOKUP(A30,sales_dataset!I:I,sales_dataset!G:G),"Not Found")</f>
        <v>Debit Card</v>
      </c>
    </row>
    <row r="31" spans="1:4">
      <c r="A31" s="6" t="s">
        <v>184</v>
      </c>
      <c r="B31" t="str">
        <f>VLOOKUP(A31,sales_dataset!I:J,2,0)</f>
        <v>New York</v>
      </c>
      <c r="C31" t="str">
        <f>VLOOKUP(A31,sales_dataset!I:K,3,0)</f>
        <v>Buffalo</v>
      </c>
      <c r="D31" t="str">
        <f>IFERROR(_xlfn.XLOOKUP(A31,sales_dataset!I:I,sales_dataset!G:G),"Not Found")</f>
        <v>Debit Card</v>
      </c>
    </row>
    <row r="32" spans="1:4">
      <c r="A32" s="4" t="s">
        <v>116</v>
      </c>
      <c r="B32" t="str">
        <f>VLOOKUP(A32,sales_dataset!I:J,2,0)</f>
        <v>Ohio</v>
      </c>
      <c r="C32" t="str">
        <f>VLOOKUP(A32,sales_dataset!I:K,3,0)</f>
        <v>Cleveland</v>
      </c>
      <c r="D32" t="str">
        <f>IFERROR(_xlfn.XLOOKUP(A32,sales_dataset!I:I,sales_dataset!G:G),"Not Found")</f>
        <v>Debit Card</v>
      </c>
    </row>
    <row r="33" spans="1:4">
      <c r="A33" s="6" t="s">
        <v>186</v>
      </c>
      <c r="B33" t="str">
        <f>VLOOKUP(A33,sales_dataset!I:J,2,0)</f>
        <v>New York</v>
      </c>
      <c r="C33" t="str">
        <f>VLOOKUP(A33,sales_dataset!I:K,3,0)</f>
        <v>Buffalo</v>
      </c>
      <c r="D33" t="str">
        <f>IFERROR(_xlfn.XLOOKUP(A33,sales_dataset!I:I,sales_dataset!G:G),"Not Found")</f>
        <v>Debit Card</v>
      </c>
    </row>
    <row r="34" spans="1:4">
      <c r="A34" s="4" t="s">
        <v>119</v>
      </c>
      <c r="B34" t="str">
        <f>VLOOKUP(A34,sales_dataset!I:J,2,0)</f>
        <v>Florida</v>
      </c>
      <c r="C34" t="str">
        <f>VLOOKUP(A34,sales_dataset!I:K,3,0)</f>
        <v>Orlando</v>
      </c>
      <c r="D34" t="str">
        <f>IFERROR(_xlfn.XLOOKUP(A34,sales_dataset!I:I,sales_dataset!G:G),"Not Found")</f>
        <v>Debit Card</v>
      </c>
    </row>
    <row r="35" spans="1:4">
      <c r="A35" s="6" t="s">
        <v>189</v>
      </c>
      <c r="B35" t="str">
        <f>VLOOKUP(A35,sales_dataset!I:J,2,0)</f>
        <v>Illinois</v>
      </c>
      <c r="C35" t="str">
        <f>VLOOKUP(A35,sales_dataset!I:K,3,0)</f>
        <v>Springfield</v>
      </c>
      <c r="D35" t="str">
        <f>IFERROR(_xlfn.XLOOKUP(A35,sales_dataset!I:I,sales_dataset!G:G),"Not Found")</f>
        <v>Credit Card</v>
      </c>
    </row>
    <row r="36" spans="1:4">
      <c r="A36" s="6" t="s">
        <v>192</v>
      </c>
      <c r="B36" t="str">
        <f>VLOOKUP(A36,sales_dataset!I:J,2,0)</f>
        <v>Florida</v>
      </c>
      <c r="C36" t="str">
        <f>VLOOKUP(A36,sales_dataset!I:K,3,0)</f>
        <v>Orlando</v>
      </c>
      <c r="D36" t="str">
        <f>IFERROR(_xlfn.XLOOKUP(A36,sales_dataset!I:I,sales_dataset!G:G),"Not Found")</f>
        <v>COD</v>
      </c>
    </row>
    <row r="37" spans="1:4">
      <c r="A37" s="6" t="s">
        <v>195</v>
      </c>
      <c r="B37" t="str">
        <f>VLOOKUP(A37,sales_dataset!I:J,2,0)</f>
        <v>Texas</v>
      </c>
      <c r="C37" t="str">
        <f>VLOOKUP(A37,sales_dataset!I:K,3,0)</f>
        <v>Austin</v>
      </c>
      <c r="D37" t="str">
        <f>IFERROR(_xlfn.XLOOKUP(A37,sales_dataset!I:I,sales_dataset!G:G),"Not Found")</f>
        <v>Debit Card</v>
      </c>
    </row>
    <row r="38" spans="1:4">
      <c r="A38" s="6" t="s">
        <v>198</v>
      </c>
      <c r="B38" t="str">
        <f>VLOOKUP(A38,sales_dataset!I:J,2,0)</f>
        <v>California</v>
      </c>
      <c r="C38" t="str">
        <f>VLOOKUP(A38,sales_dataset!I:K,3,0)</f>
        <v>San Francisco</v>
      </c>
      <c r="D38" t="str">
        <f>IFERROR(_xlfn.XLOOKUP(A38,sales_dataset!I:I,sales_dataset!G:G),"Not Found")</f>
        <v>UPI</v>
      </c>
    </row>
    <row r="39" spans="1:4">
      <c r="A39" s="4" t="s">
        <v>200</v>
      </c>
      <c r="B39" t="str">
        <f>VLOOKUP(A39,sales_dataset!I:J,2,0)</f>
        <v>Texas</v>
      </c>
      <c r="C39" t="str">
        <f>VLOOKUP(A39,sales_dataset!I:K,3,0)</f>
        <v>Dallas</v>
      </c>
      <c r="D39" t="str">
        <f>IFERROR(_xlfn.XLOOKUP(A39,sales_dataset!I:I,sales_dataset!G:G),"Not Found")</f>
        <v>COD</v>
      </c>
    </row>
    <row r="40" spans="1:4">
      <c r="A40" s="6" t="s">
        <v>202</v>
      </c>
      <c r="B40" t="str">
        <f>VLOOKUP(A40,sales_dataset!I:J,2,0)</f>
        <v>Florida</v>
      </c>
      <c r="C40" t="str">
        <f>VLOOKUP(A40,sales_dataset!I:K,3,0)</f>
        <v>Orlando</v>
      </c>
      <c r="D40" t="str">
        <f>IFERROR(_xlfn.XLOOKUP(A40,sales_dataset!I:I,sales_dataset!G:G),"Not Found")</f>
        <v>COD</v>
      </c>
    </row>
    <row r="41" spans="1:4">
      <c r="A41" s="4" t="s">
        <v>204</v>
      </c>
      <c r="B41" t="str">
        <f>VLOOKUP(A41,sales_dataset!I:J,2,0)</f>
        <v>California</v>
      </c>
      <c r="C41" t="str">
        <f>VLOOKUP(A41,sales_dataset!I:K,3,0)</f>
        <v>Los Angeles</v>
      </c>
      <c r="D41" t="str">
        <f>IFERROR(_xlfn.XLOOKUP(A41,sales_dataset!I:I,sales_dataset!G:G),"Not Found")</f>
        <v>COD</v>
      </c>
    </row>
    <row r="42" spans="1:4">
      <c r="A42" s="6" t="s">
        <v>207</v>
      </c>
      <c r="B42" t="str">
        <f>VLOOKUP(A42,sales_dataset!I:J,2,0)</f>
        <v>California</v>
      </c>
      <c r="C42" t="str">
        <f>VLOOKUP(A42,sales_dataset!I:K,3,0)</f>
        <v>San Francisco</v>
      </c>
      <c r="D42" t="str">
        <f>IFERROR(_xlfn.XLOOKUP(A42,sales_dataset!I:I,sales_dataset!G:G),"Not Found")</f>
        <v>COD</v>
      </c>
    </row>
    <row r="43" spans="1:4">
      <c r="A43" s="6" t="s">
        <v>209</v>
      </c>
      <c r="B43" t="str">
        <f>VLOOKUP(A43,sales_dataset!I:J,2,0)</f>
        <v>New York</v>
      </c>
      <c r="C43" t="str">
        <f>VLOOKUP(A43,sales_dataset!I:K,3,0)</f>
        <v>New York City</v>
      </c>
      <c r="D43" t="str">
        <f>IFERROR(_xlfn.XLOOKUP(A43,sales_dataset!I:I,sales_dataset!G:G),"Not Found")</f>
        <v>Debit Card</v>
      </c>
    </row>
    <row r="44" spans="1:4">
      <c r="A44" s="4" t="s">
        <v>213</v>
      </c>
      <c r="B44" t="str">
        <f>VLOOKUP(A44,sales_dataset!I:J,2,0)</f>
        <v>New York</v>
      </c>
      <c r="C44" t="str">
        <f>VLOOKUP(A44,sales_dataset!I:K,3,0)</f>
        <v>Buffalo</v>
      </c>
      <c r="D44" t="str">
        <f>IFERROR(_xlfn.XLOOKUP(A44,sales_dataset!I:I,sales_dataset!G:G),"Not Found")</f>
        <v>Credit Card</v>
      </c>
    </row>
    <row r="45" spans="1:4">
      <c r="A45" s="4" t="s">
        <v>216</v>
      </c>
      <c r="B45" t="str">
        <f>VLOOKUP(A45,sales_dataset!I:J,2,0)</f>
        <v>California</v>
      </c>
      <c r="C45" t="str">
        <f>VLOOKUP(A45,sales_dataset!I:K,3,0)</f>
        <v>Los Angeles</v>
      </c>
      <c r="D45" t="str">
        <f>IFERROR(_xlfn.XLOOKUP(A45,sales_dataset!I:I,sales_dataset!G:G),"Not Found")</f>
        <v>UPI</v>
      </c>
    </row>
    <row r="46" spans="1:4">
      <c r="A46" s="6" t="s">
        <v>218</v>
      </c>
      <c r="B46" t="str">
        <f>VLOOKUP(A46,sales_dataset!I:J,2,0)</f>
        <v>New York</v>
      </c>
      <c r="C46" t="str">
        <f>VLOOKUP(A46,sales_dataset!I:K,3,0)</f>
        <v>Rochester</v>
      </c>
      <c r="D46" t="str">
        <f>IFERROR(_xlfn.XLOOKUP(A46,sales_dataset!I:I,sales_dataset!G:G),"Not Found")</f>
        <v>Debit Card</v>
      </c>
    </row>
    <row r="47" spans="1:4">
      <c r="A47" s="6" t="s">
        <v>220</v>
      </c>
      <c r="B47" t="str">
        <f>VLOOKUP(A47,sales_dataset!I:J,2,0)</f>
        <v>Illinois</v>
      </c>
      <c r="C47" t="str">
        <f>VLOOKUP(A47,sales_dataset!I:K,3,0)</f>
        <v>Springfield</v>
      </c>
      <c r="D47" t="str">
        <f>IFERROR(_xlfn.XLOOKUP(A47,sales_dataset!I:I,sales_dataset!G:G),"Not Found")</f>
        <v>UPI</v>
      </c>
    </row>
    <row r="48" spans="1:4">
      <c r="A48" s="6" t="s">
        <v>222</v>
      </c>
      <c r="B48" t="str">
        <f>VLOOKUP(A48,sales_dataset!I:J,2,0)</f>
        <v>Ohio</v>
      </c>
      <c r="C48" t="str">
        <f>VLOOKUP(A48,sales_dataset!I:K,3,0)</f>
        <v>Cincinnati</v>
      </c>
      <c r="D48" t="str">
        <f>IFERROR(_xlfn.XLOOKUP(A48,sales_dataset!I:I,sales_dataset!G:G),"Not Found")</f>
        <v>UPI</v>
      </c>
    </row>
    <row r="49" spans="1:4">
      <c r="A49" s="6" t="s">
        <v>226</v>
      </c>
      <c r="B49" t="str">
        <f>VLOOKUP(A49,sales_dataset!I:J,2,0)</f>
        <v>Ohio</v>
      </c>
      <c r="C49" t="str">
        <f>VLOOKUP(A49,sales_dataset!I:K,3,0)</f>
        <v>Columbus</v>
      </c>
      <c r="D49" t="str">
        <f>IFERROR(_xlfn.XLOOKUP(A49,sales_dataset!I:I,sales_dataset!G:G),"Not Found")</f>
        <v>UPI</v>
      </c>
    </row>
    <row r="50" spans="1:4">
      <c r="A50" s="4" t="s">
        <v>229</v>
      </c>
      <c r="B50" t="str">
        <f>VLOOKUP(A50,sales_dataset!I:J,2,0)</f>
        <v>Texas</v>
      </c>
      <c r="C50" t="str">
        <f>VLOOKUP(A50,sales_dataset!I:K,3,0)</f>
        <v>Dallas</v>
      </c>
      <c r="D50" t="str">
        <f>IFERROR(_xlfn.XLOOKUP(A50,sales_dataset!I:I,sales_dataset!G:G),"Not Found")</f>
        <v>Credit Card</v>
      </c>
    </row>
    <row r="51" spans="1:4">
      <c r="A51" s="4" t="s">
        <v>232</v>
      </c>
      <c r="B51" t="str">
        <f>VLOOKUP(A51,sales_dataset!I:J,2,0)</f>
        <v>New York</v>
      </c>
      <c r="C51" t="str">
        <f>VLOOKUP(A51,sales_dataset!I:K,3,0)</f>
        <v>Rochester</v>
      </c>
      <c r="D51" t="str">
        <f>IFERROR(_xlfn.XLOOKUP(A51,sales_dataset!I:I,sales_dataset!G:G),"Not Found")</f>
        <v>Debit Card</v>
      </c>
    </row>
    <row r="52" spans="1:4">
      <c r="A52" s="6" t="s">
        <v>234</v>
      </c>
      <c r="B52" t="str">
        <f>VLOOKUP(A52,sales_dataset!I:J,2,0)</f>
        <v>Illinois</v>
      </c>
      <c r="C52" t="str">
        <f>VLOOKUP(A52,sales_dataset!I:K,3,0)</f>
        <v>Peoria</v>
      </c>
      <c r="D52" t="str">
        <f>IFERROR(_xlfn.XLOOKUP(A52,sales_dataset!I:I,sales_dataset!G:G),"Not Found")</f>
        <v>Debit Card</v>
      </c>
    </row>
    <row r="53" spans="1:4">
      <c r="A53" s="6" t="s">
        <v>238</v>
      </c>
      <c r="B53" t="str">
        <f>VLOOKUP(A53,sales_dataset!I:J,2,0)</f>
        <v>New York</v>
      </c>
      <c r="C53" t="str">
        <f>VLOOKUP(A53,sales_dataset!I:K,3,0)</f>
        <v>Buffalo</v>
      </c>
      <c r="D53" t="str">
        <f>IFERROR(_xlfn.XLOOKUP(A53,sales_dataset!I:I,sales_dataset!G:G),"Not Found")</f>
        <v>COD</v>
      </c>
    </row>
    <row r="54" spans="1:4">
      <c r="A54" s="4" t="s">
        <v>240</v>
      </c>
      <c r="B54" t="str">
        <f>VLOOKUP(A54,sales_dataset!I:J,2,0)</f>
        <v>Florida</v>
      </c>
      <c r="C54" t="str">
        <f>VLOOKUP(A54,sales_dataset!I:K,3,0)</f>
        <v>Tampa</v>
      </c>
      <c r="D54" t="str">
        <f>IFERROR(_xlfn.XLOOKUP(A54,sales_dataset!I:I,sales_dataset!G:G),"Not Found")</f>
        <v>EMI</v>
      </c>
    </row>
    <row r="55" spans="1:4">
      <c r="A55" s="4" t="s">
        <v>243</v>
      </c>
      <c r="B55" t="str">
        <f>VLOOKUP(A55,sales_dataset!I:J,2,0)</f>
        <v>Florida</v>
      </c>
      <c r="C55" t="str">
        <f>VLOOKUP(A55,sales_dataset!I:K,3,0)</f>
        <v>Miami</v>
      </c>
      <c r="D55" t="str">
        <f>IFERROR(_xlfn.XLOOKUP(A55,sales_dataset!I:I,sales_dataset!G:G),"Not Found")</f>
        <v>UPI</v>
      </c>
    </row>
    <row r="56" spans="1:4">
      <c r="A56" s="6" t="s">
        <v>245</v>
      </c>
      <c r="B56" t="str">
        <f>VLOOKUP(A56,sales_dataset!I:J,2,0)</f>
        <v>Illinois</v>
      </c>
      <c r="C56" t="str">
        <f>VLOOKUP(A56,sales_dataset!I:K,3,0)</f>
        <v>Chicago</v>
      </c>
      <c r="D56" t="str">
        <f>IFERROR(_xlfn.XLOOKUP(A56,sales_dataset!I:I,sales_dataset!G:G),"Not Found")</f>
        <v>UPI</v>
      </c>
    </row>
    <row r="57" spans="1:4">
      <c r="A57" s="4" t="s">
        <v>247</v>
      </c>
      <c r="B57" t="str">
        <f>VLOOKUP(A57,sales_dataset!I:J,2,0)</f>
        <v>New York</v>
      </c>
      <c r="C57" t="str">
        <f>VLOOKUP(A57,sales_dataset!I:K,3,0)</f>
        <v>Buffalo</v>
      </c>
      <c r="D57" t="str">
        <f>IFERROR(_xlfn.XLOOKUP(A57,sales_dataset!I:I,sales_dataset!G:G),"Not Found")</f>
        <v>UPI</v>
      </c>
    </row>
    <row r="58" spans="1:4">
      <c r="A58" s="6" t="s">
        <v>250</v>
      </c>
      <c r="B58" t="str">
        <f>VLOOKUP(A58,sales_dataset!I:J,2,0)</f>
        <v>Illinois</v>
      </c>
      <c r="C58" t="str">
        <f>VLOOKUP(A58,sales_dataset!I:K,3,0)</f>
        <v>Peoria</v>
      </c>
      <c r="D58" t="str">
        <f>IFERROR(_xlfn.XLOOKUP(A58,sales_dataset!I:I,sales_dataset!G:G),"Not Found")</f>
        <v>EMI</v>
      </c>
    </row>
    <row r="59" spans="1:4">
      <c r="A59" s="6" t="s">
        <v>252</v>
      </c>
      <c r="B59" t="str">
        <f>VLOOKUP(A59,sales_dataset!I:J,2,0)</f>
        <v>Texas</v>
      </c>
      <c r="C59" t="str">
        <f>VLOOKUP(A59,sales_dataset!I:K,3,0)</f>
        <v>Houston</v>
      </c>
      <c r="D59" t="str">
        <f>IFERROR(_xlfn.XLOOKUP(A59,sales_dataset!I:I,sales_dataset!G:G),"Not Found")</f>
        <v>COD</v>
      </c>
    </row>
    <row r="60" spans="1:4">
      <c r="A60" s="6" t="s">
        <v>255</v>
      </c>
      <c r="B60" t="str">
        <f>VLOOKUP(A60,sales_dataset!I:J,2,0)</f>
        <v>Illinois</v>
      </c>
      <c r="C60" t="str">
        <f>VLOOKUP(A60,sales_dataset!I:K,3,0)</f>
        <v>Springfield</v>
      </c>
      <c r="D60" t="str">
        <f>IFERROR(_xlfn.XLOOKUP(A60,sales_dataset!I:I,sales_dataset!G:G),"Not Found")</f>
        <v>EMI</v>
      </c>
    </row>
    <row r="61" spans="1:4">
      <c r="A61" s="6" t="s">
        <v>200</v>
      </c>
      <c r="B61" t="str">
        <f>VLOOKUP(A61,sales_dataset!I:J,2,0)</f>
        <v>Texas</v>
      </c>
      <c r="C61" t="str">
        <f>VLOOKUP(A61,sales_dataset!I:K,3,0)</f>
        <v>Dallas</v>
      </c>
      <c r="D61" t="str">
        <f>IFERROR(_xlfn.XLOOKUP(A61,sales_dataset!I:I,sales_dataset!G:G),"Not Found")</f>
        <v>COD</v>
      </c>
    </row>
    <row r="62" spans="1:4">
      <c r="A62" s="4" t="s">
        <v>202</v>
      </c>
      <c r="B62" t="str">
        <f>VLOOKUP(A62,sales_dataset!I:J,2,0)</f>
        <v>Florida</v>
      </c>
      <c r="C62" t="str">
        <f>VLOOKUP(A62,sales_dataset!I:K,3,0)</f>
        <v>Orlando</v>
      </c>
      <c r="D62" t="str">
        <f>IFERROR(_xlfn.XLOOKUP(A62,sales_dataset!I:I,sales_dataset!G:G),"Not Found")</f>
        <v>COD</v>
      </c>
    </row>
    <row r="63" spans="1:4">
      <c r="A63" s="6" t="s">
        <v>204</v>
      </c>
      <c r="B63" t="str">
        <f>VLOOKUP(A63,sales_dataset!I:J,2,0)</f>
        <v>California</v>
      </c>
      <c r="C63" t="str">
        <f>VLOOKUP(A63,sales_dataset!I:K,3,0)</f>
        <v>Los Angeles</v>
      </c>
      <c r="D63" t="str">
        <f>IFERROR(_xlfn.XLOOKUP(A63,sales_dataset!I:I,sales_dataset!G:G),"Not Found")</f>
        <v>COD</v>
      </c>
    </row>
    <row r="64" spans="1:4">
      <c r="A64" s="4" t="s">
        <v>257</v>
      </c>
      <c r="B64" t="str">
        <f>VLOOKUP(A64,sales_dataset!I:J,2,0)</f>
        <v>California</v>
      </c>
      <c r="C64" t="str">
        <f>VLOOKUP(A64,sales_dataset!I:K,3,0)</f>
        <v>San Diego</v>
      </c>
      <c r="D64" t="str">
        <f>IFERROR(_xlfn.XLOOKUP(A64,sales_dataset!I:I,sales_dataset!G:G),"Not Found")</f>
        <v>UPI</v>
      </c>
    </row>
    <row r="65" spans="1:4">
      <c r="A65" s="6" t="s">
        <v>259</v>
      </c>
      <c r="B65" t="str">
        <f>VLOOKUP(A65,sales_dataset!I:J,2,0)</f>
        <v>Ohio</v>
      </c>
      <c r="C65" t="str">
        <f>VLOOKUP(A65,sales_dataset!I:K,3,0)</f>
        <v>Cincinnati</v>
      </c>
      <c r="D65" t="str">
        <f>IFERROR(_xlfn.XLOOKUP(A65,sales_dataset!I:I,sales_dataset!G:G),"Not Found")</f>
        <v>UPI</v>
      </c>
    </row>
    <row r="66" spans="1:4">
      <c r="A66" s="4" t="s">
        <v>261</v>
      </c>
      <c r="B66" t="str">
        <f>VLOOKUP(A66,sales_dataset!I:J,2,0)</f>
        <v>Texas</v>
      </c>
      <c r="C66" t="str">
        <f>VLOOKUP(A66,sales_dataset!I:K,3,0)</f>
        <v>Austin</v>
      </c>
      <c r="D66" t="str">
        <f>IFERROR(_xlfn.XLOOKUP(A66,sales_dataset!I:I,sales_dataset!G:G),"Not Found")</f>
        <v>UPI</v>
      </c>
    </row>
    <row r="67" spans="1:4">
      <c r="A67" s="6" t="s">
        <v>262</v>
      </c>
      <c r="B67" t="str">
        <f>VLOOKUP(A67,sales_dataset!I:J,2,0)</f>
        <v>Texas</v>
      </c>
      <c r="C67" t="str">
        <f>VLOOKUP(A67,sales_dataset!I:K,3,0)</f>
        <v>Dallas</v>
      </c>
      <c r="D67" t="str">
        <f>IFERROR(_xlfn.XLOOKUP(A67,sales_dataset!I:I,sales_dataset!G:G),"Not Found")</f>
        <v>UPI</v>
      </c>
    </row>
    <row r="68" spans="1:4">
      <c r="A68" s="4" t="s">
        <v>265</v>
      </c>
      <c r="B68" t="str">
        <f>VLOOKUP(A68,sales_dataset!I:J,2,0)</f>
        <v>New York</v>
      </c>
      <c r="C68" t="str">
        <f>VLOOKUP(A68,sales_dataset!I:K,3,0)</f>
        <v>Rochester</v>
      </c>
      <c r="D68" t="str">
        <f>IFERROR(_xlfn.XLOOKUP(A68,sales_dataset!I:I,sales_dataset!G:G),"Not Found")</f>
        <v>COD</v>
      </c>
    </row>
    <row r="69" spans="1:4">
      <c r="A69" s="6" t="s">
        <v>267</v>
      </c>
      <c r="B69" t="str">
        <f>VLOOKUP(A69,sales_dataset!I:J,2,0)</f>
        <v>California</v>
      </c>
      <c r="C69" t="str">
        <f>VLOOKUP(A69,sales_dataset!I:K,3,0)</f>
        <v>San Francisco</v>
      </c>
      <c r="D69" t="str">
        <f>IFERROR(_xlfn.XLOOKUP(A69,sales_dataset!I:I,sales_dataset!G:G),"Not Found")</f>
        <v>Debit Card</v>
      </c>
    </row>
    <row r="70" spans="1:4">
      <c r="A70" s="6" t="s">
        <v>270</v>
      </c>
      <c r="B70" t="str">
        <f>VLOOKUP(A70,sales_dataset!I:J,2,0)</f>
        <v>California</v>
      </c>
      <c r="C70" t="str">
        <f>VLOOKUP(A70,sales_dataset!I:K,3,0)</f>
        <v>San Francisco</v>
      </c>
      <c r="D70" t="str">
        <f>IFERROR(_xlfn.XLOOKUP(A70,sales_dataset!I:I,sales_dataset!G:G),"Not Found")</f>
        <v>UPI</v>
      </c>
    </row>
    <row r="71" spans="1:4">
      <c r="A71" s="4" t="s">
        <v>272</v>
      </c>
      <c r="B71" t="str">
        <f>VLOOKUP(A71,sales_dataset!I:J,2,0)</f>
        <v>New York</v>
      </c>
      <c r="C71" t="str">
        <f>VLOOKUP(A71,sales_dataset!I:K,3,0)</f>
        <v>Buffalo</v>
      </c>
      <c r="D71" t="str">
        <f>IFERROR(_xlfn.XLOOKUP(A71,sales_dataset!I:I,sales_dataset!G:G),"Not Found")</f>
        <v>UPI</v>
      </c>
    </row>
    <row r="72" spans="1:4">
      <c r="A72" s="4" t="s">
        <v>275</v>
      </c>
      <c r="B72" t="str">
        <f>VLOOKUP(A72,sales_dataset!I:J,2,0)</f>
        <v>Illinois</v>
      </c>
      <c r="C72" t="str">
        <f>VLOOKUP(A72,sales_dataset!I:K,3,0)</f>
        <v>Peoria</v>
      </c>
      <c r="D72" t="str">
        <f>IFERROR(_xlfn.XLOOKUP(A72,sales_dataset!I:I,sales_dataset!G:G),"Not Found")</f>
        <v>Credit Card</v>
      </c>
    </row>
    <row r="73" spans="1:4">
      <c r="A73" s="6" t="s">
        <v>107</v>
      </c>
      <c r="B73" t="str">
        <f>VLOOKUP(A73,sales_dataset!I:J,2,0)</f>
        <v>New York</v>
      </c>
      <c r="C73" t="str">
        <f>VLOOKUP(A73,sales_dataset!I:K,3,0)</f>
        <v>Rochester</v>
      </c>
      <c r="D73" t="str">
        <f>IFERROR(_xlfn.XLOOKUP(A73,sales_dataset!I:I,sales_dataset!G:G),"Not Found")</f>
        <v>Debit Card</v>
      </c>
    </row>
    <row r="74" spans="1:4">
      <c r="A74" s="4" t="s">
        <v>110</v>
      </c>
      <c r="B74" t="str">
        <f>VLOOKUP(A74,sales_dataset!I:J,2,0)</f>
        <v>Texas</v>
      </c>
      <c r="C74" t="str">
        <f>VLOOKUP(A74,sales_dataset!I:K,3,0)</f>
        <v>Austin</v>
      </c>
      <c r="D74" t="str">
        <f>IFERROR(_xlfn.XLOOKUP(A74,sales_dataset!I:I,sales_dataset!G:G),"Not Found")</f>
        <v>Debit Card</v>
      </c>
    </row>
    <row r="75" spans="1:4">
      <c r="A75" s="6" t="s">
        <v>113</v>
      </c>
      <c r="B75" t="str">
        <f>VLOOKUP(A75,sales_dataset!I:J,2,0)</f>
        <v>New York</v>
      </c>
      <c r="C75" t="str">
        <f>VLOOKUP(A75,sales_dataset!I:K,3,0)</f>
        <v>Rochester</v>
      </c>
      <c r="D75" t="str">
        <f>IFERROR(_xlfn.XLOOKUP(A75,sales_dataset!I:I,sales_dataset!G:G),"Not Found")</f>
        <v>Debit Card</v>
      </c>
    </row>
    <row r="76" spans="1:4">
      <c r="A76" s="6" t="s">
        <v>278</v>
      </c>
      <c r="B76" t="str">
        <f>VLOOKUP(A76,sales_dataset!I:J,2,0)</f>
        <v>Texas</v>
      </c>
      <c r="C76" t="str">
        <f>VLOOKUP(A76,sales_dataset!I:K,3,0)</f>
        <v>Dallas</v>
      </c>
      <c r="D76" t="str">
        <f>IFERROR(_xlfn.XLOOKUP(A76,sales_dataset!I:I,sales_dataset!G:G),"Not Found")</f>
        <v>Credit Card</v>
      </c>
    </row>
    <row r="77" spans="1:4">
      <c r="A77" s="4" t="s">
        <v>281</v>
      </c>
      <c r="B77" t="str">
        <f>VLOOKUP(A77,sales_dataset!I:J,2,0)</f>
        <v>Texas</v>
      </c>
      <c r="C77" t="str">
        <f>VLOOKUP(A77,sales_dataset!I:K,3,0)</f>
        <v>Houston</v>
      </c>
      <c r="D77" t="str">
        <f>IFERROR(_xlfn.XLOOKUP(A77,sales_dataset!I:I,sales_dataset!G:G),"Not Found")</f>
        <v>Debit Card</v>
      </c>
    </row>
    <row r="78" spans="1:4">
      <c r="A78" s="6" t="s">
        <v>282</v>
      </c>
      <c r="B78" t="str">
        <f>VLOOKUP(A78,sales_dataset!I:J,2,0)</f>
        <v>Ohio</v>
      </c>
      <c r="C78" t="str">
        <f>VLOOKUP(A78,sales_dataset!I:K,3,0)</f>
        <v>Cincinnati</v>
      </c>
      <c r="D78" t="str">
        <f>IFERROR(_xlfn.XLOOKUP(A78,sales_dataset!I:I,sales_dataset!G:G),"Not Found")</f>
        <v>Debit Card</v>
      </c>
    </row>
    <row r="79" spans="1:4">
      <c r="A79" s="6" t="s">
        <v>285</v>
      </c>
      <c r="B79" t="str">
        <f>VLOOKUP(A79,sales_dataset!I:J,2,0)</f>
        <v>California</v>
      </c>
      <c r="C79" t="str">
        <f>VLOOKUP(A79,sales_dataset!I:K,3,0)</f>
        <v>San Francisco</v>
      </c>
      <c r="D79" t="str">
        <f>IFERROR(_xlfn.XLOOKUP(A79,sales_dataset!I:I,sales_dataset!G:G),"Not Found")</f>
        <v>UPI</v>
      </c>
    </row>
    <row r="80" spans="1:4">
      <c r="A80" s="6" t="s">
        <v>287</v>
      </c>
      <c r="B80" t="str">
        <f>VLOOKUP(A80,sales_dataset!I:J,2,0)</f>
        <v>Illinois</v>
      </c>
      <c r="C80" t="str">
        <f>VLOOKUP(A80,sales_dataset!I:K,3,0)</f>
        <v>Springfield</v>
      </c>
      <c r="D80" t="str">
        <f>IFERROR(_xlfn.XLOOKUP(A80,sales_dataset!I:I,sales_dataset!G:G),"Not Found")</f>
        <v>Debit Card</v>
      </c>
    </row>
    <row r="81" spans="1:4">
      <c r="A81" s="4" t="s">
        <v>290</v>
      </c>
      <c r="B81" t="str">
        <f>VLOOKUP(A81,sales_dataset!I:J,2,0)</f>
        <v>California</v>
      </c>
      <c r="C81" t="str">
        <f>VLOOKUP(A81,sales_dataset!I:K,3,0)</f>
        <v>San Diego</v>
      </c>
      <c r="D81" t="str">
        <f>IFERROR(_xlfn.XLOOKUP(A81,sales_dataset!I:I,sales_dataset!G:G),"Not Found")</f>
        <v>Debit Card</v>
      </c>
    </row>
    <row r="82" spans="1:4">
      <c r="A82" s="4" t="s">
        <v>293</v>
      </c>
      <c r="B82" t="str">
        <f>VLOOKUP(A82,sales_dataset!I:J,2,0)</f>
        <v>Illinois</v>
      </c>
      <c r="C82" t="str">
        <f>VLOOKUP(A82,sales_dataset!I:K,3,0)</f>
        <v>Springfield</v>
      </c>
      <c r="D82" t="str">
        <f>IFERROR(_xlfn.XLOOKUP(A82,sales_dataset!I:I,sales_dataset!G:G),"Not Found")</f>
        <v>COD</v>
      </c>
    </row>
    <row r="83" spans="1:4">
      <c r="A83" s="4" t="s">
        <v>295</v>
      </c>
      <c r="B83" t="str">
        <f>VLOOKUP(A83,sales_dataset!I:J,2,0)</f>
        <v>California</v>
      </c>
      <c r="C83" t="str">
        <f>VLOOKUP(A83,sales_dataset!I:K,3,0)</f>
        <v>San Francisco</v>
      </c>
      <c r="D83" t="str">
        <f>IFERROR(_xlfn.XLOOKUP(A83,sales_dataset!I:I,sales_dataset!G:G),"Not Found")</f>
        <v>Credit Card</v>
      </c>
    </row>
    <row r="84" spans="1:4">
      <c r="A84" s="6" t="s">
        <v>297</v>
      </c>
      <c r="B84" t="str">
        <f>VLOOKUP(A84,sales_dataset!I:J,2,0)</f>
        <v>Ohio</v>
      </c>
      <c r="C84" t="str">
        <f>VLOOKUP(A84,sales_dataset!I:K,3,0)</f>
        <v>Cleveland</v>
      </c>
      <c r="D84" t="str">
        <f>IFERROR(_xlfn.XLOOKUP(A84,sales_dataset!I:I,sales_dataset!G:G),"Not Found")</f>
        <v>Credit Card</v>
      </c>
    </row>
    <row r="85" spans="1:4">
      <c r="A85" s="6" t="s">
        <v>299</v>
      </c>
      <c r="B85" t="str">
        <f>VLOOKUP(A85,sales_dataset!I:J,2,0)</f>
        <v>Florida</v>
      </c>
      <c r="C85" t="str">
        <f>VLOOKUP(A85,sales_dataset!I:K,3,0)</f>
        <v>Orlando</v>
      </c>
      <c r="D85" t="str">
        <f>IFERROR(_xlfn.XLOOKUP(A85,sales_dataset!I:I,sales_dataset!G:G),"Not Found")</f>
        <v>UPI</v>
      </c>
    </row>
    <row r="86" spans="1:4">
      <c r="A86" s="6" t="s">
        <v>302</v>
      </c>
      <c r="B86" t="str">
        <f>VLOOKUP(A86,sales_dataset!I:J,2,0)</f>
        <v>Illinois</v>
      </c>
      <c r="C86" t="str">
        <f>VLOOKUP(A86,sales_dataset!I:K,3,0)</f>
        <v>Peoria</v>
      </c>
      <c r="D86" t="str">
        <f>IFERROR(_xlfn.XLOOKUP(A86,sales_dataset!I:I,sales_dataset!G:G),"Not Found")</f>
        <v>COD</v>
      </c>
    </row>
    <row r="87" spans="1:4">
      <c r="A87" s="4" t="s">
        <v>303</v>
      </c>
      <c r="B87" t="str">
        <f>VLOOKUP(A87,sales_dataset!I:J,2,0)</f>
        <v>New York</v>
      </c>
      <c r="C87" t="str">
        <f>VLOOKUP(A87,sales_dataset!I:K,3,0)</f>
        <v>New York City</v>
      </c>
      <c r="D87" t="str">
        <f>IFERROR(_xlfn.XLOOKUP(A87,sales_dataset!I:I,sales_dataset!G:G),"Not Found")</f>
        <v>COD</v>
      </c>
    </row>
    <row r="88" spans="1:4">
      <c r="A88" s="4" t="s">
        <v>306</v>
      </c>
      <c r="B88" t="str">
        <f>VLOOKUP(A88,sales_dataset!I:J,2,0)</f>
        <v>Florida</v>
      </c>
      <c r="C88" t="str">
        <f>VLOOKUP(A88,sales_dataset!I:K,3,0)</f>
        <v>Orlando</v>
      </c>
      <c r="D88" t="str">
        <f>IFERROR(_xlfn.XLOOKUP(A88,sales_dataset!I:I,sales_dataset!G:G),"Not Found")</f>
        <v>COD</v>
      </c>
    </row>
    <row r="89" spans="1:4">
      <c r="A89" s="6" t="s">
        <v>308</v>
      </c>
      <c r="B89" t="str">
        <f>VLOOKUP(A89,sales_dataset!I:J,2,0)</f>
        <v>Texas</v>
      </c>
      <c r="C89" t="str">
        <f>VLOOKUP(A89,sales_dataset!I:K,3,0)</f>
        <v>Austin</v>
      </c>
      <c r="D89" t="str">
        <f>IFERROR(_xlfn.XLOOKUP(A89,sales_dataset!I:I,sales_dataset!G:G),"Not Found")</f>
        <v>COD</v>
      </c>
    </row>
    <row r="90" spans="1:4">
      <c r="A90" s="6" t="s">
        <v>311</v>
      </c>
      <c r="B90" t="str">
        <f>VLOOKUP(A90,sales_dataset!I:J,2,0)</f>
        <v>Texas</v>
      </c>
      <c r="C90" t="str">
        <f>VLOOKUP(A90,sales_dataset!I:K,3,0)</f>
        <v>Houston</v>
      </c>
      <c r="D90" t="str">
        <f>IFERROR(_xlfn.XLOOKUP(A90,sales_dataset!I:I,sales_dataset!G:G),"Not Found")</f>
        <v>UPI</v>
      </c>
    </row>
    <row r="91" spans="1:4">
      <c r="A91" s="4" t="s">
        <v>314</v>
      </c>
      <c r="B91" t="str">
        <f>VLOOKUP(A91,sales_dataset!I:J,2,0)</f>
        <v>New York</v>
      </c>
      <c r="C91" t="str">
        <f>VLOOKUP(A91,sales_dataset!I:K,3,0)</f>
        <v>Rochester</v>
      </c>
      <c r="D91" t="str">
        <f>IFERROR(_xlfn.XLOOKUP(A91,sales_dataset!I:I,sales_dataset!G:G),"Not Found")</f>
        <v>UPI</v>
      </c>
    </row>
    <row r="92" spans="1:4">
      <c r="A92" s="4" t="s">
        <v>317</v>
      </c>
      <c r="B92" t="str">
        <f>VLOOKUP(A92,sales_dataset!I:J,2,0)</f>
        <v>California</v>
      </c>
      <c r="C92" t="str">
        <f>VLOOKUP(A92,sales_dataset!I:K,3,0)</f>
        <v>San Diego</v>
      </c>
      <c r="D92" t="str">
        <f>IFERROR(_xlfn.XLOOKUP(A92,sales_dataset!I:I,sales_dataset!G:G),"Not Found")</f>
        <v>Credit Card</v>
      </c>
    </row>
    <row r="93" spans="1:4">
      <c r="A93" s="6" t="s">
        <v>318</v>
      </c>
      <c r="B93" t="str">
        <f>VLOOKUP(A93,sales_dataset!I:J,2,0)</f>
        <v>Ohio</v>
      </c>
      <c r="C93" t="str">
        <f>VLOOKUP(A93,sales_dataset!I:K,3,0)</f>
        <v>Cleveland</v>
      </c>
      <c r="D93" t="str">
        <f>IFERROR(_xlfn.XLOOKUP(A93,sales_dataset!I:I,sales_dataset!G:G),"Not Found")</f>
        <v>Credit Card</v>
      </c>
    </row>
    <row r="94" spans="1:4">
      <c r="A94" s="6" t="s">
        <v>321</v>
      </c>
      <c r="B94" t="str">
        <f>VLOOKUP(A94,sales_dataset!I:J,2,0)</f>
        <v>Illinois</v>
      </c>
      <c r="C94" t="str">
        <f>VLOOKUP(A94,sales_dataset!I:K,3,0)</f>
        <v>Chicago</v>
      </c>
      <c r="D94" t="str">
        <f>IFERROR(_xlfn.XLOOKUP(A94,sales_dataset!I:I,sales_dataset!G:G),"Not Found")</f>
        <v>Debit Card</v>
      </c>
    </row>
    <row r="95" spans="1:4">
      <c r="A95" s="4" t="s">
        <v>322</v>
      </c>
      <c r="B95" t="str">
        <f>VLOOKUP(A95,sales_dataset!I:J,2,0)</f>
        <v>New York</v>
      </c>
      <c r="C95" t="str">
        <f>VLOOKUP(A95,sales_dataset!I:K,3,0)</f>
        <v>Rochester</v>
      </c>
      <c r="D95" t="str">
        <f>IFERROR(_xlfn.XLOOKUP(A95,sales_dataset!I:I,sales_dataset!G:G),"Not Found")</f>
        <v>Debit Card</v>
      </c>
    </row>
    <row r="96" spans="1:4">
      <c r="A96" s="6" t="s">
        <v>325</v>
      </c>
      <c r="B96" t="str">
        <f>VLOOKUP(A96,sales_dataset!I:J,2,0)</f>
        <v>New York</v>
      </c>
      <c r="C96" t="str">
        <f>VLOOKUP(A96,sales_dataset!I:K,3,0)</f>
        <v>Rochester</v>
      </c>
      <c r="D96" t="str">
        <f>IFERROR(_xlfn.XLOOKUP(A96,sales_dataset!I:I,sales_dataset!G:G),"Not Found")</f>
        <v>UPI</v>
      </c>
    </row>
    <row r="97" spans="1:4">
      <c r="A97" s="4" t="s">
        <v>328</v>
      </c>
      <c r="B97" t="str">
        <f>VLOOKUP(A97,sales_dataset!I:J,2,0)</f>
        <v>Florida</v>
      </c>
      <c r="C97" t="str">
        <f>VLOOKUP(A97,sales_dataset!I:K,3,0)</f>
        <v>Orlando</v>
      </c>
      <c r="D97" t="str">
        <f>IFERROR(_xlfn.XLOOKUP(A97,sales_dataset!I:I,sales_dataset!G:G),"Not Found")</f>
        <v>Debit Card</v>
      </c>
    </row>
    <row r="98" spans="1:4">
      <c r="A98" s="6" t="s">
        <v>330</v>
      </c>
      <c r="B98" t="str">
        <f>VLOOKUP(A98,sales_dataset!I:J,2,0)</f>
        <v>New York</v>
      </c>
      <c r="C98" t="str">
        <f>VLOOKUP(A98,sales_dataset!I:K,3,0)</f>
        <v>New York City</v>
      </c>
      <c r="D98" t="str">
        <f>IFERROR(_xlfn.XLOOKUP(A98,sales_dataset!I:I,sales_dataset!G:G),"Not Found")</f>
        <v>Debit Card</v>
      </c>
    </row>
    <row r="99" spans="1:4">
      <c r="A99" s="4" t="s">
        <v>333</v>
      </c>
      <c r="B99" t="str">
        <f>VLOOKUP(A99,sales_dataset!I:J,2,0)</f>
        <v>Florida</v>
      </c>
      <c r="C99" t="str">
        <f>VLOOKUP(A99,sales_dataset!I:K,3,0)</f>
        <v>Orlando</v>
      </c>
      <c r="D99" t="str">
        <f>IFERROR(_xlfn.XLOOKUP(A99,sales_dataset!I:I,sales_dataset!G:G),"Not Found")</f>
        <v>COD</v>
      </c>
    </row>
    <row r="100" spans="1:4">
      <c r="A100" s="4" t="s">
        <v>336</v>
      </c>
      <c r="B100" t="str">
        <f>VLOOKUP(A100,sales_dataset!I:J,2,0)</f>
        <v>California</v>
      </c>
      <c r="C100" t="str">
        <f>VLOOKUP(A100,sales_dataset!I:K,3,0)</f>
        <v>Los Angeles</v>
      </c>
      <c r="D100" t="str">
        <f>IFERROR(_xlfn.XLOOKUP(A100,sales_dataset!I:I,sales_dataset!G:G),"Not Found")</f>
        <v>COD</v>
      </c>
    </row>
    <row r="101" spans="1:4">
      <c r="A101" s="4" t="s">
        <v>338</v>
      </c>
      <c r="B101" t="str">
        <f>VLOOKUP(A101,sales_dataset!I:J,2,0)</f>
        <v>Ohio</v>
      </c>
      <c r="C101" t="str">
        <f>VLOOKUP(A101,sales_dataset!I:K,3,0)</f>
        <v>Cincinnati</v>
      </c>
      <c r="D101" t="str">
        <f>IFERROR(_xlfn.XLOOKUP(A101,sales_dataset!I:I,sales_dataset!G:G),"Not Found")</f>
        <v>Credit Card</v>
      </c>
    </row>
    <row r="102" spans="1:4">
      <c r="A102" s="4" t="s">
        <v>341</v>
      </c>
      <c r="B102" t="str">
        <f>VLOOKUP(A102,sales_dataset!I:J,2,0)</f>
        <v>California</v>
      </c>
      <c r="C102" t="str">
        <f>VLOOKUP(A102,sales_dataset!I:K,3,0)</f>
        <v>San Francisco</v>
      </c>
      <c r="D102" t="str">
        <f>IFERROR(_xlfn.XLOOKUP(A102,sales_dataset!I:I,sales_dataset!G:G),"Not Found")</f>
        <v>Credit Card</v>
      </c>
    </row>
    <row r="103" spans="1:4">
      <c r="A103" s="4" t="s">
        <v>344</v>
      </c>
      <c r="B103" t="str">
        <f>VLOOKUP(A103,sales_dataset!I:J,2,0)</f>
        <v>New York</v>
      </c>
      <c r="C103" t="str">
        <f>VLOOKUP(A103,sales_dataset!I:K,3,0)</f>
        <v>Buffalo</v>
      </c>
      <c r="D103" t="str">
        <f>IFERROR(_xlfn.XLOOKUP(A103,sales_dataset!I:I,sales_dataset!G:G),"Not Found")</f>
        <v>EMI</v>
      </c>
    </row>
    <row r="104" spans="1:4">
      <c r="A104" s="6" t="s">
        <v>346</v>
      </c>
      <c r="B104" t="str">
        <f>VLOOKUP(A104,sales_dataset!I:J,2,0)</f>
        <v>California</v>
      </c>
      <c r="C104" t="str">
        <f>VLOOKUP(A104,sales_dataset!I:K,3,0)</f>
        <v>San Francisco</v>
      </c>
      <c r="D104" t="str">
        <f>IFERROR(_xlfn.XLOOKUP(A104,sales_dataset!I:I,sales_dataset!G:G),"Not Found")</f>
        <v>EMI</v>
      </c>
    </row>
    <row r="105" spans="1:4">
      <c r="A105" s="4" t="s">
        <v>349</v>
      </c>
      <c r="B105" t="str">
        <f>VLOOKUP(A105,sales_dataset!I:J,2,0)</f>
        <v>Illinois</v>
      </c>
      <c r="C105" t="str">
        <f>VLOOKUP(A105,sales_dataset!I:K,3,0)</f>
        <v>Springfield</v>
      </c>
      <c r="D105" t="str">
        <f>IFERROR(_xlfn.XLOOKUP(A105,sales_dataset!I:I,sales_dataset!G:G),"Not Found")</f>
        <v>UPI</v>
      </c>
    </row>
    <row r="106" spans="1:4">
      <c r="A106" s="6" t="s">
        <v>351</v>
      </c>
      <c r="B106" t="str">
        <f>VLOOKUP(A106,sales_dataset!I:J,2,0)</f>
        <v>Texas</v>
      </c>
      <c r="C106" t="str">
        <f>VLOOKUP(A106,sales_dataset!I:K,3,0)</f>
        <v>Dallas</v>
      </c>
      <c r="D106" t="str">
        <f>IFERROR(_xlfn.XLOOKUP(A106,sales_dataset!I:I,sales_dataset!G:G),"Not Found")</f>
        <v>UPI</v>
      </c>
    </row>
    <row r="107" spans="1:4">
      <c r="A107" s="6" t="s">
        <v>353</v>
      </c>
      <c r="B107" t="str">
        <f>VLOOKUP(A107,sales_dataset!I:J,2,0)</f>
        <v>Texas</v>
      </c>
      <c r="C107" t="str">
        <f>VLOOKUP(A107,sales_dataset!I:K,3,0)</f>
        <v>Austin</v>
      </c>
      <c r="D107" t="str">
        <f>IFERROR(_xlfn.XLOOKUP(A107,sales_dataset!I:I,sales_dataset!G:G),"Not Found")</f>
        <v>Debit Card</v>
      </c>
    </row>
    <row r="108" spans="1:4">
      <c r="A108" s="4" t="s">
        <v>354</v>
      </c>
      <c r="B108" t="str">
        <f>VLOOKUP(A108,sales_dataset!I:J,2,0)</f>
        <v>California</v>
      </c>
      <c r="C108" t="str">
        <f>VLOOKUP(A108,sales_dataset!I:K,3,0)</f>
        <v>San Diego</v>
      </c>
      <c r="D108" t="str">
        <f>IFERROR(_xlfn.XLOOKUP(A108,sales_dataset!I:I,sales_dataset!G:G),"Not Found")</f>
        <v>Debit Card</v>
      </c>
    </row>
    <row r="109" spans="1:4">
      <c r="A109" s="4" t="s">
        <v>218</v>
      </c>
      <c r="B109" t="str">
        <f>VLOOKUP(A109,sales_dataset!I:J,2,0)</f>
        <v>New York</v>
      </c>
      <c r="C109" t="str">
        <f>VLOOKUP(A109,sales_dataset!I:K,3,0)</f>
        <v>Rochester</v>
      </c>
      <c r="D109" t="str">
        <f>IFERROR(_xlfn.XLOOKUP(A109,sales_dataset!I:I,sales_dataset!G:G),"Not Found")</f>
        <v>Debit Card</v>
      </c>
    </row>
    <row r="110" spans="1:4">
      <c r="A110" s="4" t="s">
        <v>356</v>
      </c>
      <c r="B110" t="str">
        <f>VLOOKUP(A110,sales_dataset!I:J,2,0)</f>
        <v>Florida</v>
      </c>
      <c r="C110" t="str">
        <f>VLOOKUP(A110,sales_dataset!I:K,3,0)</f>
        <v>Tampa</v>
      </c>
      <c r="D110" t="str">
        <f>IFERROR(_xlfn.XLOOKUP(A110,sales_dataset!I:I,sales_dataset!G:G),"Not Found")</f>
        <v>COD</v>
      </c>
    </row>
    <row r="111" spans="1:4">
      <c r="A111" s="6" t="s">
        <v>357</v>
      </c>
      <c r="B111" t="str">
        <f>VLOOKUP(A111,sales_dataset!I:J,2,0)</f>
        <v>California</v>
      </c>
      <c r="C111" t="str">
        <f>VLOOKUP(A111,sales_dataset!I:K,3,0)</f>
        <v>San Francisco</v>
      </c>
      <c r="D111" t="str">
        <f>IFERROR(_xlfn.XLOOKUP(A111,sales_dataset!I:I,sales_dataset!G:G),"Not Found")</f>
        <v>COD</v>
      </c>
    </row>
    <row r="112" spans="1:4">
      <c r="A112" s="6" t="s">
        <v>155</v>
      </c>
      <c r="B112" t="str">
        <f>VLOOKUP(A112,sales_dataset!I:J,2,0)</f>
        <v>Florida</v>
      </c>
      <c r="C112" t="str">
        <f>VLOOKUP(A112,sales_dataset!I:K,3,0)</f>
        <v>Miami</v>
      </c>
      <c r="D112" t="str">
        <f>IFERROR(_xlfn.XLOOKUP(A112,sales_dataset!I:I,sales_dataset!G:G),"Not Found")</f>
        <v>EMI</v>
      </c>
    </row>
    <row r="113" spans="1:4">
      <c r="A113" s="4" t="s">
        <v>158</v>
      </c>
      <c r="B113" t="str">
        <f>VLOOKUP(A113,sales_dataset!I:J,2,0)</f>
        <v>Florida</v>
      </c>
      <c r="C113" t="str">
        <f>VLOOKUP(A113,sales_dataset!I:K,3,0)</f>
        <v>Miami</v>
      </c>
      <c r="D113" t="str">
        <f>IFERROR(_xlfn.XLOOKUP(A113,sales_dataset!I:I,sales_dataset!G:G),"Not Found")</f>
        <v>EMI</v>
      </c>
    </row>
    <row r="114" spans="1:4">
      <c r="A114" s="6" t="s">
        <v>360</v>
      </c>
      <c r="B114" t="str">
        <f>VLOOKUP(A114,sales_dataset!I:J,2,0)</f>
        <v>Florida</v>
      </c>
      <c r="C114" t="str">
        <f>VLOOKUP(A114,sales_dataset!I:K,3,0)</f>
        <v>Orlando</v>
      </c>
      <c r="D114" t="str">
        <f>IFERROR(_xlfn.XLOOKUP(A114,sales_dataset!I:I,sales_dataset!G:G),"Not Found")</f>
        <v>COD</v>
      </c>
    </row>
    <row r="115" spans="1:4">
      <c r="A115" s="4" t="s">
        <v>363</v>
      </c>
      <c r="B115" t="str">
        <f>VLOOKUP(A115,sales_dataset!I:J,2,0)</f>
        <v>Florida</v>
      </c>
      <c r="C115" t="str">
        <f>VLOOKUP(A115,sales_dataset!I:K,3,0)</f>
        <v>Miami</v>
      </c>
      <c r="D115" t="str">
        <f>IFERROR(_xlfn.XLOOKUP(A115,sales_dataset!I:I,sales_dataset!G:G),"Not Found")</f>
        <v>Credit Card</v>
      </c>
    </row>
    <row r="116" spans="1:4">
      <c r="A116" s="6" t="s">
        <v>365</v>
      </c>
      <c r="B116" t="str">
        <f>VLOOKUP(A116,sales_dataset!I:J,2,0)</f>
        <v>Florida</v>
      </c>
      <c r="C116" t="str">
        <f>VLOOKUP(A116,sales_dataset!I:K,3,0)</f>
        <v>Tampa</v>
      </c>
      <c r="D116" t="str">
        <f>IFERROR(_xlfn.XLOOKUP(A116,sales_dataset!I:I,sales_dataset!G:G),"Not Found")</f>
        <v>Debit Card</v>
      </c>
    </row>
    <row r="117" spans="1:4">
      <c r="A117" s="6" t="s">
        <v>368</v>
      </c>
      <c r="B117" t="str">
        <f>VLOOKUP(A117,sales_dataset!I:J,2,0)</f>
        <v>Florida</v>
      </c>
      <c r="C117" t="str">
        <f>VLOOKUP(A117,sales_dataset!I:K,3,0)</f>
        <v>Miami</v>
      </c>
      <c r="D117" t="str">
        <f>IFERROR(_xlfn.XLOOKUP(A117,sales_dataset!I:I,sales_dataset!G:G),"Not Found")</f>
        <v>EMI</v>
      </c>
    </row>
    <row r="118" spans="1:4">
      <c r="A118" s="6" t="s">
        <v>370</v>
      </c>
      <c r="B118" t="str">
        <f>VLOOKUP(A118,sales_dataset!I:J,2,0)</f>
        <v>Texas</v>
      </c>
      <c r="C118" t="str">
        <f>VLOOKUP(A118,sales_dataset!I:K,3,0)</f>
        <v>Dallas</v>
      </c>
      <c r="D118" t="str">
        <f>IFERROR(_xlfn.XLOOKUP(A118,sales_dataset!I:I,sales_dataset!G:G),"Not Found")</f>
        <v>Credit Card</v>
      </c>
    </row>
    <row r="119" spans="1:4">
      <c r="A119" s="4" t="s">
        <v>372</v>
      </c>
      <c r="B119" t="str">
        <f>VLOOKUP(A119,sales_dataset!I:J,2,0)</f>
        <v>Illinois</v>
      </c>
      <c r="C119" t="str">
        <f>VLOOKUP(A119,sales_dataset!I:K,3,0)</f>
        <v>Springfield</v>
      </c>
      <c r="D119" t="str">
        <f>IFERROR(_xlfn.XLOOKUP(A119,sales_dataset!I:I,sales_dataset!G:G),"Not Found")</f>
        <v>Credit Card</v>
      </c>
    </row>
    <row r="120" spans="1:4">
      <c r="A120" s="6" t="s">
        <v>374</v>
      </c>
      <c r="B120" t="str">
        <f>VLOOKUP(A120,sales_dataset!I:J,2,0)</f>
        <v>New York</v>
      </c>
      <c r="C120" t="str">
        <f>VLOOKUP(A120,sales_dataset!I:K,3,0)</f>
        <v>Buffalo</v>
      </c>
      <c r="D120" t="str">
        <f>IFERROR(_xlfn.XLOOKUP(A120,sales_dataset!I:I,sales_dataset!G:G),"Not Found")</f>
        <v>Debit Card</v>
      </c>
    </row>
    <row r="121" spans="1:4">
      <c r="A121" s="4" t="s">
        <v>376</v>
      </c>
      <c r="B121" t="str">
        <f>VLOOKUP(A121,sales_dataset!I:J,2,0)</f>
        <v>Illinois</v>
      </c>
      <c r="C121" t="str">
        <f>VLOOKUP(A121,sales_dataset!I:K,3,0)</f>
        <v>Springfield</v>
      </c>
      <c r="D121" t="str">
        <f>IFERROR(_xlfn.XLOOKUP(A121,sales_dataset!I:I,sales_dataset!G:G),"Not Found")</f>
        <v>EMI</v>
      </c>
    </row>
    <row r="122" spans="1:4">
      <c r="A122" s="6" t="s">
        <v>378</v>
      </c>
      <c r="B122" t="str">
        <f>VLOOKUP(A122,sales_dataset!I:J,2,0)</f>
        <v>New York</v>
      </c>
      <c r="C122" t="str">
        <f>VLOOKUP(A122,sales_dataset!I:K,3,0)</f>
        <v>Rochester</v>
      </c>
      <c r="D122" t="str">
        <f>IFERROR(_xlfn.XLOOKUP(A122,sales_dataset!I:I,sales_dataset!G:G),"Not Found")</f>
        <v>Debit Card</v>
      </c>
    </row>
    <row r="123" spans="1:4">
      <c r="A123" s="6" t="s">
        <v>360</v>
      </c>
      <c r="B123" t="str">
        <f>VLOOKUP(A123,sales_dataset!I:J,2,0)</f>
        <v>Florida</v>
      </c>
      <c r="C123" t="str">
        <f>VLOOKUP(A123,sales_dataset!I:K,3,0)</f>
        <v>Orlando</v>
      </c>
      <c r="D123" t="str">
        <f>IFERROR(_xlfn.XLOOKUP(A123,sales_dataset!I:I,sales_dataset!G:G),"Not Found")</f>
        <v>COD</v>
      </c>
    </row>
    <row r="124" spans="1:4">
      <c r="A124" s="4" t="s">
        <v>295</v>
      </c>
      <c r="B124" t="str">
        <f>VLOOKUP(A124,sales_dataset!I:J,2,0)</f>
        <v>California</v>
      </c>
      <c r="C124" t="str">
        <f>VLOOKUP(A124,sales_dataset!I:K,3,0)</f>
        <v>San Francisco</v>
      </c>
      <c r="D124" t="str">
        <f>IFERROR(_xlfn.XLOOKUP(A124,sales_dataset!I:I,sales_dataset!G:G),"Not Found")</f>
        <v>Credit Card</v>
      </c>
    </row>
    <row r="125" spans="1:4">
      <c r="A125" s="6" t="s">
        <v>297</v>
      </c>
      <c r="B125" t="str">
        <f>VLOOKUP(A125,sales_dataset!I:J,2,0)</f>
        <v>Ohio</v>
      </c>
      <c r="C125" t="str">
        <f>VLOOKUP(A125,sales_dataset!I:K,3,0)</f>
        <v>Cleveland</v>
      </c>
      <c r="D125" t="str">
        <f>IFERROR(_xlfn.XLOOKUP(A125,sales_dataset!I:I,sales_dataset!G:G),"Not Found")</f>
        <v>Credit Card</v>
      </c>
    </row>
    <row r="126" spans="1:4">
      <c r="A126" s="4" t="s">
        <v>381</v>
      </c>
      <c r="B126" t="str">
        <f>VLOOKUP(A126,sales_dataset!I:J,2,0)</f>
        <v>Texas</v>
      </c>
      <c r="C126" t="str">
        <f>VLOOKUP(A126,sales_dataset!I:K,3,0)</f>
        <v>Dallas</v>
      </c>
      <c r="D126" t="str">
        <f>IFERROR(_xlfn.XLOOKUP(A126,sales_dataset!I:I,sales_dataset!G:G),"Not Found")</f>
        <v>Credit Card</v>
      </c>
    </row>
    <row r="127" spans="1:4">
      <c r="A127" s="4" t="s">
        <v>384</v>
      </c>
      <c r="B127" t="str">
        <f>VLOOKUP(A127,sales_dataset!I:J,2,0)</f>
        <v>Ohio</v>
      </c>
      <c r="C127" t="str">
        <f>VLOOKUP(A127,sales_dataset!I:K,3,0)</f>
        <v>Cincinnati</v>
      </c>
      <c r="D127" t="str">
        <f>IFERROR(_xlfn.XLOOKUP(A127,sales_dataset!I:I,sales_dataset!G:G),"Not Found")</f>
        <v>EMI</v>
      </c>
    </row>
    <row r="128" spans="1:4">
      <c r="A128" s="6" t="s">
        <v>386</v>
      </c>
      <c r="B128" t="str">
        <f>VLOOKUP(A128,sales_dataset!I:J,2,0)</f>
        <v>Ohio</v>
      </c>
      <c r="C128" t="str">
        <f>VLOOKUP(A128,sales_dataset!I:K,3,0)</f>
        <v>Columbus</v>
      </c>
      <c r="D128" t="str">
        <f>IFERROR(_xlfn.XLOOKUP(A128,sales_dataset!I:I,sales_dataset!G:G),"Not Found")</f>
        <v>EMI</v>
      </c>
    </row>
    <row r="129" spans="1:4">
      <c r="A129" s="4" t="s">
        <v>389</v>
      </c>
      <c r="B129" t="str">
        <f>VLOOKUP(A129,sales_dataset!I:J,2,0)</f>
        <v>California</v>
      </c>
      <c r="C129" t="str">
        <f>VLOOKUP(A129,sales_dataset!I:K,3,0)</f>
        <v>San Diego</v>
      </c>
      <c r="D129" t="str">
        <f>IFERROR(_xlfn.XLOOKUP(A129,sales_dataset!I:I,sales_dataset!G:G),"Not Found")</f>
        <v>Credit Card</v>
      </c>
    </row>
    <row r="130" spans="1:4">
      <c r="A130" s="6" t="s">
        <v>391</v>
      </c>
      <c r="B130" t="str">
        <f>VLOOKUP(A130,sales_dataset!I:J,2,0)</f>
        <v>New York</v>
      </c>
      <c r="C130" t="str">
        <f>VLOOKUP(A130,sales_dataset!I:K,3,0)</f>
        <v>New York City</v>
      </c>
      <c r="D130" t="str">
        <f>IFERROR(_xlfn.XLOOKUP(A130,sales_dataset!I:I,sales_dataset!G:G),"Not Found")</f>
        <v>UPI</v>
      </c>
    </row>
    <row r="131" spans="1:4">
      <c r="A131" s="6" t="s">
        <v>394</v>
      </c>
      <c r="B131" t="str">
        <f>VLOOKUP(A131,sales_dataset!I:J,2,0)</f>
        <v>Illinois</v>
      </c>
      <c r="C131" t="str">
        <f>VLOOKUP(A131,sales_dataset!I:K,3,0)</f>
        <v>Chicago</v>
      </c>
      <c r="D131" t="str">
        <f>IFERROR(_xlfn.XLOOKUP(A131,sales_dataset!I:I,sales_dataset!G:G),"Not Found")</f>
        <v>Credit Card</v>
      </c>
    </row>
    <row r="132" spans="1:4">
      <c r="A132" s="4" t="s">
        <v>396</v>
      </c>
      <c r="B132" t="str">
        <f>VLOOKUP(A132,sales_dataset!I:J,2,0)</f>
        <v>New York</v>
      </c>
      <c r="C132" t="str">
        <f>VLOOKUP(A132,sales_dataset!I:K,3,0)</f>
        <v>New York City</v>
      </c>
      <c r="D132" t="str">
        <f>IFERROR(_xlfn.XLOOKUP(A132,sales_dataset!I:I,sales_dataset!G:G),"Not Found")</f>
        <v>EMI</v>
      </c>
    </row>
    <row r="133" spans="1:4">
      <c r="A133" s="6" t="s">
        <v>399</v>
      </c>
      <c r="B133" t="str">
        <f>VLOOKUP(A133,sales_dataset!I:J,2,0)</f>
        <v>California</v>
      </c>
      <c r="C133" t="str">
        <f>VLOOKUP(A133,sales_dataset!I:K,3,0)</f>
        <v>San Diego</v>
      </c>
      <c r="D133" t="str">
        <f>IFERROR(_xlfn.XLOOKUP(A133,sales_dataset!I:I,sales_dataset!G:G),"Not Found")</f>
        <v>Debit Card</v>
      </c>
    </row>
    <row r="134" spans="1:4">
      <c r="A134" s="4" t="s">
        <v>401</v>
      </c>
      <c r="B134" t="str">
        <f>VLOOKUP(A134,sales_dataset!I:J,2,0)</f>
        <v>Ohio</v>
      </c>
      <c r="C134" t="str">
        <f>VLOOKUP(A134,sales_dataset!I:K,3,0)</f>
        <v>Cleveland</v>
      </c>
      <c r="D134" t="str">
        <f>IFERROR(_xlfn.XLOOKUP(A134,sales_dataset!I:I,sales_dataset!G:G),"Not Found")</f>
        <v>Debit Card</v>
      </c>
    </row>
    <row r="135" spans="1:4">
      <c r="A135" s="6" t="s">
        <v>403</v>
      </c>
      <c r="B135" t="str">
        <f>VLOOKUP(A135,sales_dataset!I:J,2,0)</f>
        <v>Illinois</v>
      </c>
      <c r="C135" t="str">
        <f>VLOOKUP(A135,sales_dataset!I:K,3,0)</f>
        <v>Peoria</v>
      </c>
      <c r="D135" t="str">
        <f>IFERROR(_xlfn.XLOOKUP(A135,sales_dataset!I:I,sales_dataset!G:G),"Not Found")</f>
        <v>Debit Card</v>
      </c>
    </row>
    <row r="136" spans="1:4">
      <c r="A136" s="6" t="s">
        <v>405</v>
      </c>
      <c r="B136" t="str">
        <f>VLOOKUP(A136,sales_dataset!I:J,2,0)</f>
        <v>Texas</v>
      </c>
      <c r="C136" t="str">
        <f>VLOOKUP(A136,sales_dataset!I:K,3,0)</f>
        <v>Houston</v>
      </c>
      <c r="D136" t="str">
        <f>IFERROR(_xlfn.XLOOKUP(A136,sales_dataset!I:I,sales_dataset!G:G),"Not Found")</f>
        <v>Credit Card</v>
      </c>
    </row>
    <row r="137" spans="1:4">
      <c r="A137" s="6" t="s">
        <v>408</v>
      </c>
      <c r="B137" t="str">
        <f>VLOOKUP(A137,sales_dataset!I:J,2,0)</f>
        <v>New York</v>
      </c>
      <c r="C137" t="str">
        <f>VLOOKUP(A137,sales_dataset!I:K,3,0)</f>
        <v>Rochester</v>
      </c>
      <c r="D137" t="str">
        <f>IFERROR(_xlfn.XLOOKUP(A137,sales_dataset!I:I,sales_dataset!G:G),"Not Found")</f>
        <v>Credit Card</v>
      </c>
    </row>
    <row r="138" spans="1:4">
      <c r="A138" s="6" t="s">
        <v>410</v>
      </c>
      <c r="B138" t="str">
        <f>VLOOKUP(A138,sales_dataset!I:J,2,0)</f>
        <v>Illinois</v>
      </c>
      <c r="C138" t="str">
        <f>VLOOKUP(A138,sales_dataset!I:K,3,0)</f>
        <v>Peoria</v>
      </c>
      <c r="D138" t="str">
        <f>IFERROR(_xlfn.XLOOKUP(A138,sales_dataset!I:I,sales_dataset!G:G),"Not Found")</f>
        <v>UPI</v>
      </c>
    </row>
    <row r="139" spans="1:4">
      <c r="A139" s="4" t="s">
        <v>412</v>
      </c>
      <c r="B139" t="str">
        <f>VLOOKUP(A139,sales_dataset!I:J,2,0)</f>
        <v>Texas</v>
      </c>
      <c r="C139" t="str">
        <f>VLOOKUP(A139,sales_dataset!I:K,3,0)</f>
        <v>Austin</v>
      </c>
      <c r="D139" t="str">
        <f>IFERROR(_xlfn.XLOOKUP(A139,sales_dataset!I:I,sales_dataset!G:G),"Not Found")</f>
        <v>Debit Card</v>
      </c>
    </row>
    <row r="140" spans="1:4">
      <c r="A140" s="6" t="s">
        <v>414</v>
      </c>
      <c r="B140" t="str">
        <f>VLOOKUP(A140,sales_dataset!I:J,2,0)</f>
        <v>Ohio</v>
      </c>
      <c r="C140" t="str">
        <f>VLOOKUP(A140,sales_dataset!I:K,3,0)</f>
        <v>Cincinnati</v>
      </c>
      <c r="D140" t="str">
        <f>IFERROR(_xlfn.XLOOKUP(A140,sales_dataset!I:I,sales_dataset!G:G),"Not Found")</f>
        <v>Debit Card</v>
      </c>
    </row>
    <row r="141" spans="1:4">
      <c r="A141" s="4" t="s">
        <v>415</v>
      </c>
      <c r="B141" t="str">
        <f>VLOOKUP(A141,sales_dataset!I:J,2,0)</f>
        <v>Texas</v>
      </c>
      <c r="C141" t="str">
        <f>VLOOKUP(A141,sales_dataset!I:K,3,0)</f>
        <v>Dallas</v>
      </c>
      <c r="D141" t="str">
        <f>IFERROR(_xlfn.XLOOKUP(A141,sales_dataset!I:I,sales_dataset!G:G),"Not Found")</f>
        <v>Debit Card</v>
      </c>
    </row>
    <row r="142" spans="1:4">
      <c r="A142" s="6" t="s">
        <v>417</v>
      </c>
      <c r="B142" t="str">
        <f>VLOOKUP(A142,sales_dataset!I:J,2,0)</f>
        <v>New York</v>
      </c>
      <c r="C142" t="str">
        <f>VLOOKUP(A142,sales_dataset!I:K,3,0)</f>
        <v>Buffalo</v>
      </c>
      <c r="D142" t="str">
        <f>IFERROR(_xlfn.XLOOKUP(A142,sales_dataset!I:I,sales_dataset!G:G),"Not Found")</f>
        <v>Debit Card</v>
      </c>
    </row>
    <row r="143" spans="1:4">
      <c r="A143" s="4" t="s">
        <v>419</v>
      </c>
      <c r="B143" t="str">
        <f>VLOOKUP(A143,sales_dataset!I:J,2,0)</f>
        <v>Ohio</v>
      </c>
      <c r="C143" t="str">
        <f>VLOOKUP(A143,sales_dataset!I:K,3,0)</f>
        <v>Columbus</v>
      </c>
      <c r="D143" t="str">
        <f>IFERROR(_xlfn.XLOOKUP(A143,sales_dataset!I:I,sales_dataset!G:G),"Not Found")</f>
        <v>Credit Card</v>
      </c>
    </row>
    <row r="144" spans="1:4">
      <c r="A144" s="4" t="s">
        <v>422</v>
      </c>
      <c r="B144" t="str">
        <f>VLOOKUP(A144,sales_dataset!I:J,2,0)</f>
        <v>California</v>
      </c>
      <c r="C144" t="str">
        <f>VLOOKUP(A144,sales_dataset!I:K,3,0)</f>
        <v>San Diego</v>
      </c>
      <c r="D144" t="str">
        <f>IFERROR(_xlfn.XLOOKUP(A144,sales_dataset!I:I,sales_dataset!G:G),"Not Found")</f>
        <v>Credit Card</v>
      </c>
    </row>
    <row r="145" spans="1:4">
      <c r="A145" s="6" t="s">
        <v>425</v>
      </c>
      <c r="B145" t="str">
        <f>VLOOKUP(A145,sales_dataset!I:J,2,0)</f>
        <v>California</v>
      </c>
      <c r="C145" t="str">
        <f>VLOOKUP(A145,sales_dataset!I:K,3,0)</f>
        <v>San Diego</v>
      </c>
      <c r="D145" t="str">
        <f>IFERROR(_xlfn.XLOOKUP(A145,sales_dataset!I:I,sales_dataset!G:G),"Not Found")</f>
        <v>COD</v>
      </c>
    </row>
    <row r="146" spans="1:4">
      <c r="A146" s="4" t="s">
        <v>427</v>
      </c>
      <c r="B146" t="str">
        <f>VLOOKUP(A146,sales_dataset!I:J,2,0)</f>
        <v>Ohio</v>
      </c>
      <c r="C146" t="str">
        <f>VLOOKUP(A146,sales_dataset!I:K,3,0)</f>
        <v>Cleveland</v>
      </c>
      <c r="D146" t="str">
        <f>IFERROR(_xlfn.XLOOKUP(A146,sales_dataset!I:I,sales_dataset!G:G),"Not Found")</f>
        <v>Debit Card</v>
      </c>
    </row>
    <row r="147" spans="1:4">
      <c r="A147" s="6" t="s">
        <v>429</v>
      </c>
      <c r="B147" t="str">
        <f>VLOOKUP(A147,sales_dataset!I:J,2,0)</f>
        <v>New York</v>
      </c>
      <c r="C147" t="str">
        <f>VLOOKUP(A147,sales_dataset!I:K,3,0)</f>
        <v>Rochester</v>
      </c>
      <c r="D147" t="str">
        <f>IFERROR(_xlfn.XLOOKUP(A147,sales_dataset!I:I,sales_dataset!G:G),"Not Found")</f>
        <v>Debit Card</v>
      </c>
    </row>
    <row r="148" spans="1:4">
      <c r="A148" s="6" t="s">
        <v>432</v>
      </c>
      <c r="B148" t="str">
        <f>VLOOKUP(A148,sales_dataset!I:J,2,0)</f>
        <v>Florida</v>
      </c>
      <c r="C148" t="str">
        <f>VLOOKUP(A148,sales_dataset!I:K,3,0)</f>
        <v>Miami</v>
      </c>
      <c r="D148" t="str">
        <f>IFERROR(_xlfn.XLOOKUP(A148,sales_dataset!I:I,sales_dataset!G:G),"Not Found")</f>
        <v>EMI</v>
      </c>
    </row>
    <row r="149" spans="1:4">
      <c r="A149" s="6" t="s">
        <v>434</v>
      </c>
      <c r="B149" t="str">
        <f>VLOOKUP(A149,sales_dataset!I:J,2,0)</f>
        <v>Ohio</v>
      </c>
      <c r="C149" t="str">
        <f>VLOOKUP(A149,sales_dataset!I:K,3,0)</f>
        <v>Cincinnati</v>
      </c>
      <c r="D149" t="str">
        <f>IFERROR(_xlfn.XLOOKUP(A149,sales_dataset!I:I,sales_dataset!G:G),"Not Found")</f>
        <v>UPI</v>
      </c>
    </row>
    <row r="150" spans="1:4">
      <c r="A150" s="6" t="s">
        <v>437</v>
      </c>
      <c r="B150" t="str">
        <f>VLOOKUP(A150,sales_dataset!I:J,2,0)</f>
        <v>Florida</v>
      </c>
      <c r="C150" t="str">
        <f>VLOOKUP(A150,sales_dataset!I:K,3,0)</f>
        <v>Miami</v>
      </c>
      <c r="D150" t="str">
        <f>IFERROR(_xlfn.XLOOKUP(A150,sales_dataset!I:I,sales_dataset!G:G),"Not Found")</f>
        <v>Debit Card</v>
      </c>
    </row>
    <row r="151" spans="1:4">
      <c r="A151" s="6" t="s">
        <v>440</v>
      </c>
      <c r="B151" t="str">
        <f>VLOOKUP(A151,sales_dataset!I:J,2,0)</f>
        <v>California</v>
      </c>
      <c r="C151" t="str">
        <f>VLOOKUP(A151,sales_dataset!I:K,3,0)</f>
        <v>San Diego</v>
      </c>
      <c r="D151" t="str">
        <f>IFERROR(_xlfn.XLOOKUP(A151,sales_dataset!I:I,sales_dataset!G:G),"Not Found")</f>
        <v>Debit Card</v>
      </c>
    </row>
    <row r="152" spans="1:4">
      <c r="A152" s="6" t="s">
        <v>443</v>
      </c>
      <c r="B152" t="str">
        <f>VLOOKUP(A152,sales_dataset!I:J,2,0)</f>
        <v>New York</v>
      </c>
      <c r="C152" t="str">
        <f>VLOOKUP(A152,sales_dataset!I:K,3,0)</f>
        <v>New York City</v>
      </c>
      <c r="D152" t="str">
        <f>IFERROR(_xlfn.XLOOKUP(A152,sales_dataset!I:I,sales_dataset!G:G),"Not Found")</f>
        <v>Debit Card</v>
      </c>
    </row>
    <row r="153" spans="1:4">
      <c r="A153" s="6" t="s">
        <v>353</v>
      </c>
      <c r="B153" t="str">
        <f>VLOOKUP(A153,sales_dataset!I:J,2,0)</f>
        <v>Texas</v>
      </c>
      <c r="C153" t="str">
        <f>VLOOKUP(A153,sales_dataset!I:K,3,0)</f>
        <v>Austin</v>
      </c>
      <c r="D153" t="str">
        <f>IFERROR(_xlfn.XLOOKUP(A153,sales_dataset!I:I,sales_dataset!G:G),"Not Found")</f>
        <v>Debit Card</v>
      </c>
    </row>
    <row r="154" spans="1:4">
      <c r="A154" s="4" t="s">
        <v>354</v>
      </c>
      <c r="B154" t="str">
        <f>VLOOKUP(A154,sales_dataset!I:J,2,0)</f>
        <v>California</v>
      </c>
      <c r="C154" t="str">
        <f>VLOOKUP(A154,sales_dataset!I:K,3,0)</f>
        <v>San Diego</v>
      </c>
      <c r="D154" t="str">
        <f>IFERROR(_xlfn.XLOOKUP(A154,sales_dataset!I:I,sales_dataset!G:G),"Not Found")</f>
        <v>Debit Card</v>
      </c>
    </row>
    <row r="155" spans="1:4">
      <c r="A155" s="4" t="s">
        <v>446</v>
      </c>
      <c r="B155" t="str">
        <f>VLOOKUP(A155,sales_dataset!I:J,2,0)</f>
        <v>Illinois</v>
      </c>
      <c r="C155" t="str">
        <f>VLOOKUP(A155,sales_dataset!I:K,3,0)</f>
        <v>Chicago</v>
      </c>
      <c r="D155" t="str">
        <f>IFERROR(_xlfn.XLOOKUP(A155,sales_dataset!I:I,sales_dataset!G:G),"Not Found")</f>
        <v>COD</v>
      </c>
    </row>
    <row r="156" spans="1:4">
      <c r="A156" s="4" t="s">
        <v>449</v>
      </c>
      <c r="B156" t="str">
        <f>VLOOKUP(A156,sales_dataset!I:J,2,0)</f>
        <v>New York</v>
      </c>
      <c r="C156" t="str">
        <f>VLOOKUP(A156,sales_dataset!I:K,3,0)</f>
        <v>New York City</v>
      </c>
      <c r="D156" t="str">
        <f>IFERROR(_xlfn.XLOOKUP(A156,sales_dataset!I:I,sales_dataset!G:G),"Not Found")</f>
        <v>EMI</v>
      </c>
    </row>
    <row r="157" spans="1:4">
      <c r="A157" s="4" t="s">
        <v>451</v>
      </c>
      <c r="B157" t="str">
        <f>VLOOKUP(A157,sales_dataset!I:J,2,0)</f>
        <v>Texas</v>
      </c>
      <c r="C157" t="str">
        <f>VLOOKUP(A157,sales_dataset!I:K,3,0)</f>
        <v>Austin</v>
      </c>
      <c r="D157" t="str">
        <f>IFERROR(_xlfn.XLOOKUP(A157,sales_dataset!I:I,sales_dataset!G:G),"Not Found")</f>
        <v>Credit Card</v>
      </c>
    </row>
    <row r="158" spans="1:4">
      <c r="A158" s="6" t="s">
        <v>453</v>
      </c>
      <c r="B158" t="str">
        <f>VLOOKUP(A158,sales_dataset!I:J,2,0)</f>
        <v>Texas</v>
      </c>
      <c r="C158" t="str">
        <f>VLOOKUP(A158,sales_dataset!I:K,3,0)</f>
        <v>Austin</v>
      </c>
      <c r="D158" t="str">
        <f>IFERROR(_xlfn.XLOOKUP(A158,sales_dataset!I:I,sales_dataset!G:G),"Not Found")</f>
        <v>Credit Card</v>
      </c>
    </row>
    <row r="159" spans="1:4">
      <c r="A159" s="4" t="s">
        <v>456</v>
      </c>
      <c r="B159" t="str">
        <f>VLOOKUP(A159,sales_dataset!I:J,2,0)</f>
        <v>Ohio</v>
      </c>
      <c r="C159" t="str">
        <f>VLOOKUP(A159,sales_dataset!I:K,3,0)</f>
        <v>Columbus</v>
      </c>
      <c r="D159" t="str">
        <f>IFERROR(_xlfn.XLOOKUP(A159,sales_dataset!I:I,sales_dataset!G:G),"Not Found")</f>
        <v>Credit Card</v>
      </c>
    </row>
    <row r="160" spans="1:4">
      <c r="A160" s="4" t="s">
        <v>458</v>
      </c>
      <c r="B160" t="str">
        <f>VLOOKUP(A160,sales_dataset!I:J,2,0)</f>
        <v>Illinois</v>
      </c>
      <c r="C160" t="str">
        <f>VLOOKUP(A160,sales_dataset!I:K,3,0)</f>
        <v>Chicago</v>
      </c>
      <c r="D160" t="str">
        <f>IFERROR(_xlfn.XLOOKUP(A160,sales_dataset!I:I,sales_dataset!G:G),"Not Found")</f>
        <v>UPI</v>
      </c>
    </row>
    <row r="161" spans="1:4">
      <c r="A161" s="6" t="s">
        <v>461</v>
      </c>
      <c r="B161" t="str">
        <f>VLOOKUP(A161,sales_dataset!I:J,2,0)</f>
        <v>Illinois</v>
      </c>
      <c r="C161" t="str">
        <f>VLOOKUP(A161,sales_dataset!I:K,3,0)</f>
        <v>Chicago</v>
      </c>
      <c r="D161" t="str">
        <f>IFERROR(_xlfn.XLOOKUP(A161,sales_dataset!I:I,sales_dataset!G:G),"Not Found")</f>
        <v>Debit Card</v>
      </c>
    </row>
    <row r="162" spans="1:4">
      <c r="A162" s="6" t="s">
        <v>464</v>
      </c>
      <c r="B162" t="str">
        <f>VLOOKUP(A162,sales_dataset!I:J,2,0)</f>
        <v>Florida</v>
      </c>
      <c r="C162" t="str">
        <f>VLOOKUP(A162,sales_dataset!I:K,3,0)</f>
        <v>Tampa</v>
      </c>
      <c r="D162" t="str">
        <f>IFERROR(_xlfn.XLOOKUP(A162,sales_dataset!I:I,sales_dataset!G:G),"Not Found")</f>
        <v>Debit Card</v>
      </c>
    </row>
    <row r="163" spans="1:4">
      <c r="A163" s="6" t="s">
        <v>467</v>
      </c>
      <c r="B163" t="str">
        <f>VLOOKUP(A163,sales_dataset!I:J,2,0)</f>
        <v>Ohio</v>
      </c>
      <c r="C163" t="str">
        <f>VLOOKUP(A163,sales_dataset!I:K,3,0)</f>
        <v>Cincinnati</v>
      </c>
      <c r="D163" t="str">
        <f>IFERROR(_xlfn.XLOOKUP(A163,sales_dataset!I:I,sales_dataset!G:G),"Not Found")</f>
        <v>Debit Card</v>
      </c>
    </row>
    <row r="164" spans="1:4">
      <c r="A164" s="4" t="s">
        <v>468</v>
      </c>
      <c r="B164" t="str">
        <f>VLOOKUP(A164,sales_dataset!I:J,2,0)</f>
        <v>Illinois</v>
      </c>
      <c r="C164" t="str">
        <f>VLOOKUP(A164,sales_dataset!I:K,3,0)</f>
        <v>Peoria</v>
      </c>
      <c r="D164" t="str">
        <f>IFERROR(_xlfn.XLOOKUP(A164,sales_dataset!I:I,sales_dataset!G:G),"Not Found")</f>
        <v>Debit Card</v>
      </c>
    </row>
    <row r="165" spans="1:4">
      <c r="A165" s="6" t="s">
        <v>469</v>
      </c>
      <c r="B165" t="str">
        <f>VLOOKUP(A165,sales_dataset!I:J,2,0)</f>
        <v>Illinois</v>
      </c>
      <c r="C165" t="str">
        <f>VLOOKUP(A165,sales_dataset!I:K,3,0)</f>
        <v>Chicago</v>
      </c>
      <c r="D165" t="str">
        <f>IFERROR(_xlfn.XLOOKUP(A165,sales_dataset!I:I,sales_dataset!G:G),"Not Found")</f>
        <v>Debit Card</v>
      </c>
    </row>
    <row r="166" spans="1:4">
      <c r="A166" s="6" t="s">
        <v>471</v>
      </c>
      <c r="B166" t="str">
        <f>VLOOKUP(A166,sales_dataset!I:J,2,0)</f>
        <v>Texas</v>
      </c>
      <c r="C166" t="str">
        <f>VLOOKUP(A166,sales_dataset!I:K,3,0)</f>
        <v>Austin</v>
      </c>
      <c r="D166" t="str">
        <f>IFERROR(_xlfn.XLOOKUP(A166,sales_dataset!I:I,sales_dataset!G:G),"Not Found")</f>
        <v>Debit Card</v>
      </c>
    </row>
    <row r="167" spans="1:4">
      <c r="A167" s="4" t="s">
        <v>473</v>
      </c>
      <c r="B167" t="str">
        <f>VLOOKUP(A167,sales_dataset!I:J,2,0)</f>
        <v>California</v>
      </c>
      <c r="C167" t="str">
        <f>VLOOKUP(A167,sales_dataset!I:K,3,0)</f>
        <v>San Francisco</v>
      </c>
      <c r="D167" t="str">
        <f>IFERROR(_xlfn.XLOOKUP(A167,sales_dataset!I:I,sales_dataset!G:G),"Not Found")</f>
        <v>Debit Card</v>
      </c>
    </row>
    <row r="168" spans="1:4">
      <c r="A168" s="6" t="s">
        <v>476</v>
      </c>
      <c r="B168" t="str">
        <f>VLOOKUP(A168,sales_dataset!I:J,2,0)</f>
        <v>Illinois</v>
      </c>
      <c r="C168" t="str">
        <f>VLOOKUP(A168,sales_dataset!I:K,3,0)</f>
        <v>Chicago</v>
      </c>
      <c r="D168" t="str">
        <f>IFERROR(_xlfn.XLOOKUP(A168,sales_dataset!I:I,sales_dataset!G:G),"Not Found")</f>
        <v>Credit Card</v>
      </c>
    </row>
    <row r="169" spans="1:4">
      <c r="A169" s="4" t="s">
        <v>479</v>
      </c>
      <c r="B169" t="str">
        <f>VLOOKUP(A169,sales_dataset!I:J,2,0)</f>
        <v>Florida</v>
      </c>
      <c r="C169" t="str">
        <f>VLOOKUP(A169,sales_dataset!I:K,3,0)</f>
        <v>Orlando</v>
      </c>
      <c r="D169" t="str">
        <f>IFERROR(_xlfn.XLOOKUP(A169,sales_dataset!I:I,sales_dataset!G:G),"Not Found")</f>
        <v>Debit Card</v>
      </c>
    </row>
    <row r="170" spans="1:4">
      <c r="A170" s="4" t="s">
        <v>481</v>
      </c>
      <c r="B170" t="str">
        <f>VLOOKUP(A170,sales_dataset!I:J,2,0)</f>
        <v>New York</v>
      </c>
      <c r="C170" t="str">
        <f>VLOOKUP(A170,sales_dataset!I:K,3,0)</f>
        <v>New York City</v>
      </c>
      <c r="D170" t="str">
        <f>IFERROR(_xlfn.XLOOKUP(A170,sales_dataset!I:I,sales_dataset!G:G),"Not Found")</f>
        <v>Credit Card</v>
      </c>
    </row>
    <row r="171" spans="1:4">
      <c r="A171" s="4" t="s">
        <v>328</v>
      </c>
      <c r="B171" t="str">
        <f>VLOOKUP(A171,sales_dataset!I:J,2,0)</f>
        <v>Florida</v>
      </c>
      <c r="C171" t="str">
        <f>VLOOKUP(A171,sales_dataset!I:K,3,0)</f>
        <v>Orlando</v>
      </c>
      <c r="D171" t="str">
        <f>IFERROR(_xlfn.XLOOKUP(A171,sales_dataset!I:I,sales_dataset!G:G),"Not Found")</f>
        <v>Debit Card</v>
      </c>
    </row>
    <row r="172" spans="1:4">
      <c r="A172" s="6" t="s">
        <v>330</v>
      </c>
      <c r="B172" t="str">
        <f>VLOOKUP(A172,sales_dataset!I:J,2,0)</f>
        <v>New York</v>
      </c>
      <c r="C172" t="str">
        <f>VLOOKUP(A172,sales_dataset!I:K,3,0)</f>
        <v>New York City</v>
      </c>
      <c r="D172" t="str">
        <f>IFERROR(_xlfn.XLOOKUP(A172,sales_dataset!I:I,sales_dataset!G:G),"Not Found")</f>
        <v>Debit Card</v>
      </c>
    </row>
    <row r="173" spans="1:4">
      <c r="A173" s="4" t="s">
        <v>437</v>
      </c>
      <c r="B173" t="str">
        <f>VLOOKUP(A173,sales_dataset!I:J,2,0)</f>
        <v>Florida</v>
      </c>
      <c r="C173" t="str">
        <f>VLOOKUP(A173,sales_dataset!I:K,3,0)</f>
        <v>Miami</v>
      </c>
      <c r="D173" t="str">
        <f>IFERROR(_xlfn.XLOOKUP(A173,sales_dataset!I:I,sales_dataset!G:G),"Not Found")</f>
        <v>Debit Card</v>
      </c>
    </row>
    <row r="174" spans="1:4">
      <c r="A174" s="6" t="s">
        <v>483</v>
      </c>
      <c r="B174" t="str">
        <f>VLOOKUP(A174,sales_dataset!I:J,2,0)</f>
        <v>California</v>
      </c>
      <c r="C174" t="str">
        <f>VLOOKUP(A174,sales_dataset!I:K,3,0)</f>
        <v>San Francisco</v>
      </c>
      <c r="D174" t="str">
        <f>IFERROR(_xlfn.XLOOKUP(A174,sales_dataset!I:I,sales_dataset!G:G),"Not Found")</f>
        <v>EMI</v>
      </c>
    </row>
    <row r="175" spans="1:4">
      <c r="A175" s="4" t="s">
        <v>485</v>
      </c>
      <c r="B175" t="str">
        <f>VLOOKUP(A175,sales_dataset!I:J,2,0)</f>
        <v>New York</v>
      </c>
      <c r="C175" t="str">
        <f>VLOOKUP(A175,sales_dataset!I:K,3,0)</f>
        <v>Rochester</v>
      </c>
      <c r="D175" t="str">
        <f>IFERROR(_xlfn.XLOOKUP(A175,sales_dataset!I:I,sales_dataset!G:G),"Not Found")</f>
        <v>EMI</v>
      </c>
    </row>
    <row r="176" spans="1:4">
      <c r="A176" s="4" t="s">
        <v>488</v>
      </c>
      <c r="B176" t="str">
        <f>VLOOKUP(A176,sales_dataset!I:J,2,0)</f>
        <v>Illinois</v>
      </c>
      <c r="C176" t="str">
        <f>VLOOKUP(A176,sales_dataset!I:K,3,0)</f>
        <v>Chicago</v>
      </c>
      <c r="D176" t="str">
        <f>IFERROR(_xlfn.XLOOKUP(A176,sales_dataset!I:I,sales_dataset!G:G),"Not Found")</f>
        <v>Debit Card</v>
      </c>
    </row>
    <row r="177" spans="1:4">
      <c r="A177" s="6" t="s">
        <v>490</v>
      </c>
      <c r="B177" t="str">
        <f>VLOOKUP(A177,sales_dataset!I:J,2,0)</f>
        <v>New York</v>
      </c>
      <c r="C177" t="str">
        <f>VLOOKUP(A177,sales_dataset!I:K,3,0)</f>
        <v>Buffalo</v>
      </c>
      <c r="D177" t="str">
        <f>IFERROR(_xlfn.XLOOKUP(A177,sales_dataset!I:I,sales_dataset!G:G),"Not Found")</f>
        <v>EMI</v>
      </c>
    </row>
    <row r="178" spans="1:4">
      <c r="A178" s="4" t="s">
        <v>492</v>
      </c>
      <c r="B178" t="str">
        <f>VLOOKUP(A178,sales_dataset!I:J,2,0)</f>
        <v>Ohio</v>
      </c>
      <c r="C178" t="str">
        <f>VLOOKUP(A178,sales_dataset!I:K,3,0)</f>
        <v>Cleveland</v>
      </c>
      <c r="D178" t="str">
        <f>IFERROR(_xlfn.XLOOKUP(A178,sales_dataset!I:I,sales_dataset!G:G),"Not Found")</f>
        <v>EMI</v>
      </c>
    </row>
    <row r="179" spans="1:4">
      <c r="A179" s="4" t="s">
        <v>495</v>
      </c>
      <c r="B179" t="str">
        <f>VLOOKUP(A179,sales_dataset!I:J,2,0)</f>
        <v>Florida</v>
      </c>
      <c r="C179" t="str">
        <f>VLOOKUP(A179,sales_dataset!I:K,3,0)</f>
        <v>Orlando</v>
      </c>
      <c r="D179" t="str">
        <f>IFERROR(_xlfn.XLOOKUP(A179,sales_dataset!I:I,sales_dataset!G:G),"Not Found")</f>
        <v>COD</v>
      </c>
    </row>
    <row r="180" spans="1:4">
      <c r="A180" s="6" t="s">
        <v>496</v>
      </c>
      <c r="B180" t="str">
        <f>VLOOKUP(A180,sales_dataset!I:J,2,0)</f>
        <v>Texas</v>
      </c>
      <c r="C180" t="str">
        <f>VLOOKUP(A180,sales_dataset!I:K,3,0)</f>
        <v>Houston</v>
      </c>
      <c r="D180" t="str">
        <f>IFERROR(_xlfn.XLOOKUP(A180,sales_dataset!I:I,sales_dataset!G:G),"Not Found")</f>
        <v>COD</v>
      </c>
    </row>
    <row r="181" spans="1:4">
      <c r="A181" s="4" t="s">
        <v>498</v>
      </c>
      <c r="B181" t="str">
        <f>VLOOKUP(A181,sales_dataset!I:J,2,0)</f>
        <v>Florida</v>
      </c>
      <c r="C181" t="str">
        <f>VLOOKUP(A181,sales_dataset!I:K,3,0)</f>
        <v>Miami</v>
      </c>
      <c r="D181" t="str">
        <f>IFERROR(_xlfn.XLOOKUP(A181,sales_dataset!I:I,sales_dataset!G:G),"Not Found")</f>
        <v>EMI</v>
      </c>
    </row>
    <row r="182" spans="1:4">
      <c r="A182" s="6" t="s">
        <v>501</v>
      </c>
      <c r="B182" t="str">
        <f>VLOOKUP(A182,sales_dataset!I:J,2,0)</f>
        <v>Florida</v>
      </c>
      <c r="C182" t="str">
        <f>VLOOKUP(A182,sales_dataset!I:K,3,0)</f>
        <v>Miami</v>
      </c>
      <c r="D182" t="str">
        <f>IFERROR(_xlfn.XLOOKUP(A182,sales_dataset!I:I,sales_dataset!G:G),"Not Found")</f>
        <v>UPI</v>
      </c>
    </row>
    <row r="183" spans="1:4">
      <c r="A183" s="4" t="s">
        <v>502</v>
      </c>
      <c r="B183" t="str">
        <f>VLOOKUP(A183,sales_dataset!I:J,2,0)</f>
        <v>Florida</v>
      </c>
      <c r="C183" t="str">
        <f>VLOOKUP(A183,sales_dataset!I:K,3,0)</f>
        <v>Tampa</v>
      </c>
      <c r="D183" t="str">
        <f>IFERROR(_xlfn.XLOOKUP(A183,sales_dataset!I:I,sales_dataset!G:G),"Not Found")</f>
        <v>UPI</v>
      </c>
    </row>
    <row r="184" spans="1:4">
      <c r="A184" s="4" t="s">
        <v>505</v>
      </c>
      <c r="B184" t="str">
        <f>VLOOKUP(A184,sales_dataset!I:J,2,0)</f>
        <v>Illinois</v>
      </c>
      <c r="C184" t="str">
        <f>VLOOKUP(A184,sales_dataset!I:K,3,0)</f>
        <v>Peoria</v>
      </c>
      <c r="D184" t="str">
        <f>IFERROR(_xlfn.XLOOKUP(A184,sales_dataset!I:I,sales_dataset!G:G),"Not Found")</f>
        <v>Debit Card</v>
      </c>
    </row>
    <row r="185" spans="1:4">
      <c r="A185" s="6" t="s">
        <v>507</v>
      </c>
      <c r="B185" t="str">
        <f>VLOOKUP(A185,sales_dataset!I:J,2,0)</f>
        <v>Florida</v>
      </c>
      <c r="C185" t="str">
        <f>VLOOKUP(A185,sales_dataset!I:K,3,0)</f>
        <v>Orlando</v>
      </c>
      <c r="D185" t="str">
        <f>IFERROR(_xlfn.XLOOKUP(A185,sales_dataset!I:I,sales_dataset!G:G),"Not Found")</f>
        <v>Debit Card</v>
      </c>
    </row>
    <row r="186" spans="1:4">
      <c r="A186" s="4" t="s">
        <v>509</v>
      </c>
      <c r="B186" t="str">
        <f>VLOOKUP(A186,sales_dataset!I:J,2,0)</f>
        <v>Illinois</v>
      </c>
      <c r="C186" t="str">
        <f>VLOOKUP(A186,sales_dataset!I:K,3,0)</f>
        <v>Springfield</v>
      </c>
      <c r="D186" t="str">
        <f>IFERROR(_xlfn.XLOOKUP(A186,sales_dataset!I:I,sales_dataset!G:G),"Not Found")</f>
        <v>EMI</v>
      </c>
    </row>
    <row r="187" spans="1:4">
      <c r="A187" s="6" t="s">
        <v>510</v>
      </c>
      <c r="B187" t="str">
        <f>VLOOKUP(A187,sales_dataset!I:J,2,0)</f>
        <v>Illinois</v>
      </c>
      <c r="C187" t="str">
        <f>VLOOKUP(A187,sales_dataset!I:K,3,0)</f>
        <v>Springfield</v>
      </c>
      <c r="D187" t="str">
        <f>IFERROR(_xlfn.XLOOKUP(A187,sales_dataset!I:I,sales_dataset!G:G),"Not Found")</f>
        <v>EMI</v>
      </c>
    </row>
    <row r="188" spans="1:4">
      <c r="A188" s="4" t="s">
        <v>512</v>
      </c>
      <c r="B188" t="str">
        <f>VLOOKUP(A188,sales_dataset!I:J,2,0)</f>
        <v>California</v>
      </c>
      <c r="C188" t="str">
        <f>VLOOKUP(A188,sales_dataset!I:K,3,0)</f>
        <v>San Diego</v>
      </c>
      <c r="D188" t="str">
        <f>IFERROR(_xlfn.XLOOKUP(A188,sales_dataset!I:I,sales_dataset!G:G),"Not Found")</f>
        <v>EMI</v>
      </c>
    </row>
    <row r="189" spans="1:4">
      <c r="A189" s="4" t="s">
        <v>515</v>
      </c>
      <c r="B189" t="str">
        <f>VLOOKUP(A189,sales_dataset!I:J,2,0)</f>
        <v>New York</v>
      </c>
      <c r="C189" t="str">
        <f>VLOOKUP(A189,sales_dataset!I:K,3,0)</f>
        <v>Rochester</v>
      </c>
      <c r="D189" t="str">
        <f>IFERROR(_xlfn.XLOOKUP(A189,sales_dataset!I:I,sales_dataset!G:G),"Not Found")</f>
        <v>UPI</v>
      </c>
    </row>
    <row r="190" spans="1:4">
      <c r="A190" s="6" t="s">
        <v>517</v>
      </c>
      <c r="B190" t="str">
        <f>VLOOKUP(A190,sales_dataset!I:J,2,0)</f>
        <v>Texas</v>
      </c>
      <c r="C190" t="str">
        <f>VLOOKUP(A190,sales_dataset!I:K,3,0)</f>
        <v>Dallas</v>
      </c>
      <c r="D190" t="str">
        <f>IFERROR(_xlfn.XLOOKUP(A190,sales_dataset!I:I,sales_dataset!G:G),"Not Found")</f>
        <v>COD</v>
      </c>
    </row>
    <row r="191" spans="1:4">
      <c r="A191" s="4" t="s">
        <v>520</v>
      </c>
      <c r="B191" t="str">
        <f>VLOOKUP(A191,sales_dataset!I:J,2,0)</f>
        <v>Florida</v>
      </c>
      <c r="C191" t="str">
        <f>VLOOKUP(A191,sales_dataset!I:K,3,0)</f>
        <v>Tampa</v>
      </c>
      <c r="D191" t="str">
        <f>IFERROR(_xlfn.XLOOKUP(A191,sales_dataset!I:I,sales_dataset!G:G),"Not Found")</f>
        <v>EMI</v>
      </c>
    </row>
    <row r="192" spans="1:4">
      <c r="A192" s="4" t="s">
        <v>325</v>
      </c>
      <c r="B192" t="str">
        <f>VLOOKUP(A192,sales_dataset!I:J,2,0)</f>
        <v>New York</v>
      </c>
      <c r="C192" t="str">
        <f>VLOOKUP(A192,sales_dataset!I:K,3,0)</f>
        <v>Rochester</v>
      </c>
      <c r="D192" t="str">
        <f>IFERROR(_xlfn.XLOOKUP(A192,sales_dataset!I:I,sales_dataset!G:G),"Not Found")</f>
        <v>UPI</v>
      </c>
    </row>
    <row r="193" spans="1:4">
      <c r="A193" s="6" t="s">
        <v>522</v>
      </c>
      <c r="B193" t="str">
        <f>VLOOKUP(A193,sales_dataset!I:J,2,0)</f>
        <v>New York</v>
      </c>
      <c r="C193" t="str">
        <f>VLOOKUP(A193,sales_dataset!I:K,3,0)</f>
        <v>New York City</v>
      </c>
      <c r="D193" t="str">
        <f>IFERROR(_xlfn.XLOOKUP(A193,sales_dataset!I:I,sales_dataset!G:G),"Not Found")</f>
        <v>Credit Card</v>
      </c>
    </row>
    <row r="194" spans="1:4">
      <c r="A194" s="6" t="s">
        <v>525</v>
      </c>
      <c r="B194" t="str">
        <f>VLOOKUP(A194,sales_dataset!I:J,2,0)</f>
        <v>Florida</v>
      </c>
      <c r="C194" t="str">
        <f>VLOOKUP(A194,sales_dataset!I:K,3,0)</f>
        <v>Tampa</v>
      </c>
      <c r="D194" t="str">
        <f>IFERROR(_xlfn.XLOOKUP(A194,sales_dataset!I:I,sales_dataset!G:G),"Not Found")</f>
        <v>COD</v>
      </c>
    </row>
    <row r="195" spans="1:4">
      <c r="A195" s="6" t="s">
        <v>527</v>
      </c>
      <c r="B195" t="str">
        <f>VLOOKUP(A195,sales_dataset!I:J,2,0)</f>
        <v>Ohio</v>
      </c>
      <c r="C195" t="str">
        <f>VLOOKUP(A195,sales_dataset!I:K,3,0)</f>
        <v>Cincinnati</v>
      </c>
      <c r="D195" t="str">
        <f>IFERROR(_xlfn.XLOOKUP(A195,sales_dataset!I:I,sales_dataset!G:G),"Not Found")</f>
        <v>Credit Card</v>
      </c>
    </row>
    <row r="196" spans="1:4">
      <c r="A196" s="4" t="s">
        <v>530</v>
      </c>
      <c r="B196" t="str">
        <f>VLOOKUP(A196,sales_dataset!I:J,2,0)</f>
        <v>New York</v>
      </c>
      <c r="C196" t="str">
        <f>VLOOKUP(A196,sales_dataset!I:K,3,0)</f>
        <v>Rochester</v>
      </c>
      <c r="D196" t="str">
        <f>IFERROR(_xlfn.XLOOKUP(A196,sales_dataset!I:I,sales_dataset!G:G),"Not Found")</f>
        <v>UPI</v>
      </c>
    </row>
    <row r="197" spans="1:4">
      <c r="A197" s="4" t="s">
        <v>533</v>
      </c>
      <c r="B197" t="str">
        <f>VLOOKUP(A197,sales_dataset!I:J,2,0)</f>
        <v>Texas</v>
      </c>
      <c r="C197" t="str">
        <f>VLOOKUP(A197,sales_dataset!I:K,3,0)</f>
        <v>Austin</v>
      </c>
      <c r="D197" t="str">
        <f>IFERROR(_xlfn.XLOOKUP(A197,sales_dataset!I:I,sales_dataset!G:G),"Not Found")</f>
        <v>EMI</v>
      </c>
    </row>
    <row r="198" spans="1:4">
      <c r="A198" s="6" t="s">
        <v>535</v>
      </c>
      <c r="B198" t="str">
        <f>VLOOKUP(A198,sales_dataset!I:J,2,0)</f>
        <v>Texas</v>
      </c>
      <c r="C198" t="str">
        <f>VLOOKUP(A198,sales_dataset!I:K,3,0)</f>
        <v>Austin</v>
      </c>
      <c r="D198" t="str">
        <f>IFERROR(_xlfn.XLOOKUP(A198,sales_dataset!I:I,sales_dataset!G:G),"Not Found")</f>
        <v>Debit Card</v>
      </c>
    </row>
    <row r="199" spans="1:4">
      <c r="A199" s="4" t="s">
        <v>538</v>
      </c>
      <c r="B199" t="str">
        <f>VLOOKUP(A199,sales_dataset!I:J,2,0)</f>
        <v>Florida</v>
      </c>
      <c r="C199" t="str">
        <f>VLOOKUP(A199,sales_dataset!I:K,3,0)</f>
        <v>Orlando</v>
      </c>
      <c r="D199" t="str">
        <f>IFERROR(_xlfn.XLOOKUP(A199,sales_dataset!I:I,sales_dataset!G:G),"Not Found")</f>
        <v>COD</v>
      </c>
    </row>
    <row r="200" spans="1:4">
      <c r="A200" s="4" t="s">
        <v>250</v>
      </c>
      <c r="B200" t="str">
        <f>VLOOKUP(A200,sales_dataset!I:J,2,0)</f>
        <v>Illinois</v>
      </c>
      <c r="C200" t="str">
        <f>VLOOKUP(A200,sales_dataset!I:K,3,0)</f>
        <v>Peoria</v>
      </c>
      <c r="D200" t="str">
        <f>IFERROR(_xlfn.XLOOKUP(A200,sales_dataset!I:I,sales_dataset!G:G),"Not Found")</f>
        <v>EMI</v>
      </c>
    </row>
    <row r="201" spans="1:4">
      <c r="A201" s="4" t="s">
        <v>541</v>
      </c>
      <c r="B201" t="str">
        <f>VLOOKUP(A201,sales_dataset!I:J,2,0)</f>
        <v>New York</v>
      </c>
      <c r="C201" t="str">
        <f>VLOOKUP(A201,sales_dataset!I:K,3,0)</f>
        <v>New York City</v>
      </c>
      <c r="D201" t="str">
        <f>IFERROR(_xlfn.XLOOKUP(A201,sales_dataset!I:I,sales_dataset!G:G),"Not Found")</f>
        <v>EMI</v>
      </c>
    </row>
    <row r="202" spans="1:4">
      <c r="A202" s="4" t="s">
        <v>543</v>
      </c>
      <c r="B202" t="str">
        <f>VLOOKUP(A202,sales_dataset!I:J,2,0)</f>
        <v>New York</v>
      </c>
      <c r="C202" t="str">
        <f>VLOOKUP(A202,sales_dataset!I:K,3,0)</f>
        <v>New York City</v>
      </c>
      <c r="D202" t="str">
        <f>IFERROR(_xlfn.XLOOKUP(A202,sales_dataset!I:I,sales_dataset!G:G),"Not Found")</f>
        <v>Credit Card</v>
      </c>
    </row>
    <row r="203" spans="1:4">
      <c r="A203" s="6" t="s">
        <v>265</v>
      </c>
      <c r="B203" t="str">
        <f>VLOOKUP(A203,sales_dataset!I:J,2,0)</f>
        <v>New York</v>
      </c>
      <c r="C203" t="str">
        <f>VLOOKUP(A203,sales_dataset!I:K,3,0)</f>
        <v>Rochester</v>
      </c>
      <c r="D203" t="str">
        <f>IFERROR(_xlfn.XLOOKUP(A203,sales_dataset!I:I,sales_dataset!G:G),"Not Found")</f>
        <v>COD</v>
      </c>
    </row>
    <row r="204" spans="1:4">
      <c r="A204" s="6" t="s">
        <v>546</v>
      </c>
      <c r="B204" t="str">
        <f>VLOOKUP(A204,sales_dataset!I:J,2,0)</f>
        <v>New York</v>
      </c>
      <c r="C204" t="str">
        <f>VLOOKUP(A204,sales_dataset!I:K,3,0)</f>
        <v>Buffalo</v>
      </c>
      <c r="D204" t="str">
        <f>IFERROR(_xlfn.XLOOKUP(A204,sales_dataset!I:I,sales_dataset!G:G),"Not Found")</f>
        <v>Credit Card</v>
      </c>
    </row>
    <row r="205" spans="1:4">
      <c r="A205" s="4" t="s">
        <v>548</v>
      </c>
      <c r="B205" t="str">
        <f>VLOOKUP(A205,sales_dataset!I:J,2,0)</f>
        <v>California</v>
      </c>
      <c r="C205" t="str">
        <f>VLOOKUP(A205,sales_dataset!I:K,3,0)</f>
        <v>San Francisco</v>
      </c>
      <c r="D205" t="str">
        <f>IFERROR(_xlfn.XLOOKUP(A205,sales_dataset!I:I,sales_dataset!G:G),"Not Found")</f>
        <v>Debit Card</v>
      </c>
    </row>
    <row r="206" spans="1:4">
      <c r="A206" s="6" t="s">
        <v>549</v>
      </c>
      <c r="B206" t="str">
        <f>VLOOKUP(A206,sales_dataset!I:J,2,0)</f>
        <v>Ohio</v>
      </c>
      <c r="C206" t="str">
        <f>VLOOKUP(A206,sales_dataset!I:K,3,0)</f>
        <v>Columbus</v>
      </c>
      <c r="D206" t="str">
        <f>IFERROR(_xlfn.XLOOKUP(A206,sales_dataset!I:I,sales_dataset!G:G),"Not Found")</f>
        <v>Debit Card</v>
      </c>
    </row>
    <row r="207" spans="1:4">
      <c r="A207" s="4" t="s">
        <v>551</v>
      </c>
      <c r="B207" t="str">
        <f>VLOOKUP(A207,sales_dataset!I:J,2,0)</f>
        <v>Ohio</v>
      </c>
      <c r="C207" t="str">
        <f>VLOOKUP(A207,sales_dataset!I:K,3,0)</f>
        <v>Columbus</v>
      </c>
      <c r="D207" t="str">
        <f>IFERROR(_xlfn.XLOOKUP(A207,sales_dataset!I:I,sales_dataset!G:G),"Not Found")</f>
        <v>Debit Card</v>
      </c>
    </row>
    <row r="208" spans="1:4">
      <c r="A208" s="4" t="s">
        <v>553</v>
      </c>
      <c r="B208" t="str">
        <f>VLOOKUP(A208,sales_dataset!I:J,2,0)</f>
        <v>Florida</v>
      </c>
      <c r="C208" t="str">
        <f>VLOOKUP(A208,sales_dataset!I:K,3,0)</f>
        <v>Orlando</v>
      </c>
      <c r="D208" t="str">
        <f>IFERROR(_xlfn.XLOOKUP(A208,sales_dataset!I:I,sales_dataset!G:G),"Not Found")</f>
        <v>UPI</v>
      </c>
    </row>
    <row r="209" spans="1:4">
      <c r="A209" s="6" t="s">
        <v>556</v>
      </c>
      <c r="B209" t="str">
        <f>VLOOKUP(A209,sales_dataset!I:J,2,0)</f>
        <v>Illinois</v>
      </c>
      <c r="C209" t="str">
        <f>VLOOKUP(A209,sales_dataset!I:K,3,0)</f>
        <v>Peoria</v>
      </c>
      <c r="D209" t="str">
        <f>IFERROR(_xlfn.XLOOKUP(A209,sales_dataset!I:I,sales_dataset!G:G),"Not Found")</f>
        <v>Credit Card</v>
      </c>
    </row>
    <row r="210" spans="1:4">
      <c r="A210" s="4" t="s">
        <v>558</v>
      </c>
      <c r="B210" t="str">
        <f>VLOOKUP(A210,sales_dataset!I:J,2,0)</f>
        <v>New York</v>
      </c>
      <c r="C210" t="str">
        <f>VLOOKUP(A210,sales_dataset!I:K,3,0)</f>
        <v>Buffalo</v>
      </c>
      <c r="D210" t="str">
        <f>IFERROR(_xlfn.XLOOKUP(A210,sales_dataset!I:I,sales_dataset!G:G),"Not Found")</f>
        <v>Credit Card</v>
      </c>
    </row>
    <row r="211" spans="1:4">
      <c r="A211" s="4" t="s">
        <v>561</v>
      </c>
      <c r="B211" t="str">
        <f>VLOOKUP(A211,sales_dataset!I:J,2,0)</f>
        <v>Texas</v>
      </c>
      <c r="C211" t="str">
        <f>VLOOKUP(A211,sales_dataset!I:K,3,0)</f>
        <v>Houston</v>
      </c>
      <c r="D211" t="str">
        <f>IFERROR(_xlfn.XLOOKUP(A211,sales_dataset!I:I,sales_dataset!G:G),"Not Found")</f>
        <v>COD</v>
      </c>
    </row>
    <row r="212" spans="1:4">
      <c r="A212" s="6" t="s">
        <v>563</v>
      </c>
      <c r="B212" t="str">
        <f>VLOOKUP(A212,sales_dataset!I:J,2,0)</f>
        <v>Illinois</v>
      </c>
      <c r="C212" t="str">
        <f>VLOOKUP(A212,sales_dataset!I:K,3,0)</f>
        <v>Chicago</v>
      </c>
      <c r="D212" t="str">
        <f>IFERROR(_xlfn.XLOOKUP(A212,sales_dataset!I:I,sales_dataset!G:G),"Not Found")</f>
        <v>COD</v>
      </c>
    </row>
    <row r="213" spans="1:4">
      <c r="A213" s="4" t="s">
        <v>565</v>
      </c>
      <c r="B213" t="str">
        <f>VLOOKUP(A213,sales_dataset!I:J,2,0)</f>
        <v>California</v>
      </c>
      <c r="C213" t="str">
        <f>VLOOKUP(A213,sales_dataset!I:K,3,0)</f>
        <v>San Francisco</v>
      </c>
      <c r="D213" t="str">
        <f>IFERROR(_xlfn.XLOOKUP(A213,sales_dataset!I:I,sales_dataset!G:G),"Not Found")</f>
        <v>COD</v>
      </c>
    </row>
    <row r="214" spans="1:4">
      <c r="A214" s="4" t="s">
        <v>568</v>
      </c>
      <c r="B214" t="str">
        <f>VLOOKUP(A214,sales_dataset!I:J,2,0)</f>
        <v>New York</v>
      </c>
      <c r="C214" t="str">
        <f>VLOOKUP(A214,sales_dataset!I:K,3,0)</f>
        <v>Rochester</v>
      </c>
      <c r="D214" t="str">
        <f>IFERROR(_xlfn.XLOOKUP(A214,sales_dataset!I:I,sales_dataset!G:G),"Not Found")</f>
        <v>Debit Card</v>
      </c>
    </row>
    <row r="215" spans="1:4">
      <c r="A215" s="4" t="s">
        <v>570</v>
      </c>
      <c r="B215" t="str">
        <f>VLOOKUP(A215,sales_dataset!I:J,2,0)</f>
        <v>Ohio</v>
      </c>
      <c r="C215" t="str">
        <f>VLOOKUP(A215,sales_dataset!I:K,3,0)</f>
        <v>Cleveland</v>
      </c>
      <c r="D215" t="str">
        <f>IFERROR(_xlfn.XLOOKUP(A215,sales_dataset!I:I,sales_dataset!G:G),"Not Found")</f>
        <v>COD</v>
      </c>
    </row>
    <row r="216" spans="1:4">
      <c r="A216" s="6" t="s">
        <v>572</v>
      </c>
      <c r="B216" t="str">
        <f>VLOOKUP(A216,sales_dataset!I:J,2,0)</f>
        <v>New York</v>
      </c>
      <c r="C216" t="str">
        <f>VLOOKUP(A216,sales_dataset!I:K,3,0)</f>
        <v>Rochester</v>
      </c>
      <c r="D216" t="str">
        <f>IFERROR(_xlfn.XLOOKUP(A216,sales_dataset!I:I,sales_dataset!G:G),"Not Found")</f>
        <v>COD</v>
      </c>
    </row>
    <row r="217" spans="1:4">
      <c r="A217" s="4" t="s">
        <v>574</v>
      </c>
      <c r="B217" t="str">
        <f>VLOOKUP(A217,sales_dataset!I:J,2,0)</f>
        <v>California</v>
      </c>
      <c r="C217" t="str">
        <f>VLOOKUP(A217,sales_dataset!I:K,3,0)</f>
        <v>Los Angeles</v>
      </c>
      <c r="D217" t="str">
        <f>IFERROR(_xlfn.XLOOKUP(A217,sales_dataset!I:I,sales_dataset!G:G),"Not Found")</f>
        <v>COD</v>
      </c>
    </row>
    <row r="218" spans="1:4">
      <c r="A218" s="4" t="s">
        <v>287</v>
      </c>
      <c r="B218" t="str">
        <f>VLOOKUP(A218,sales_dataset!I:J,2,0)</f>
        <v>Illinois</v>
      </c>
      <c r="C218" t="str">
        <f>VLOOKUP(A218,sales_dataset!I:K,3,0)</f>
        <v>Springfield</v>
      </c>
      <c r="D218" t="str">
        <f>IFERROR(_xlfn.XLOOKUP(A218,sales_dataset!I:I,sales_dataset!G:G),"Not Found")</f>
        <v>Debit Card</v>
      </c>
    </row>
    <row r="219" spans="1:4">
      <c r="A219" s="6" t="s">
        <v>576</v>
      </c>
      <c r="B219" t="str">
        <f>VLOOKUP(A219,sales_dataset!I:J,2,0)</f>
        <v>Texas</v>
      </c>
      <c r="C219" t="str">
        <f>VLOOKUP(A219,sales_dataset!I:K,3,0)</f>
        <v>Houston</v>
      </c>
      <c r="D219" t="str">
        <f>IFERROR(_xlfn.XLOOKUP(A219,sales_dataset!I:I,sales_dataset!G:G),"Not Found")</f>
        <v>Debit Card</v>
      </c>
    </row>
    <row r="220" spans="1:4">
      <c r="A220" s="4" t="s">
        <v>579</v>
      </c>
      <c r="B220" t="str">
        <f>VLOOKUP(A220,sales_dataset!I:J,2,0)</f>
        <v>Florida</v>
      </c>
      <c r="C220" t="str">
        <f>VLOOKUP(A220,sales_dataset!I:K,3,0)</f>
        <v>Miami</v>
      </c>
      <c r="D220" t="str">
        <f>IFERROR(_xlfn.XLOOKUP(A220,sales_dataset!I:I,sales_dataset!G:G),"Not Found")</f>
        <v>UPI</v>
      </c>
    </row>
    <row r="221" spans="1:4">
      <c r="A221" s="4" t="s">
        <v>581</v>
      </c>
      <c r="B221" t="str">
        <f>VLOOKUP(A221,sales_dataset!I:J,2,0)</f>
        <v>California</v>
      </c>
      <c r="C221" t="str">
        <f>VLOOKUP(A221,sales_dataset!I:K,3,0)</f>
        <v>San Francisco</v>
      </c>
      <c r="D221" t="str">
        <f>IFERROR(_xlfn.XLOOKUP(A221,sales_dataset!I:I,sales_dataset!G:G),"Not Found")</f>
        <v>Credit Card</v>
      </c>
    </row>
    <row r="222" spans="1:4">
      <c r="A222" s="6" t="s">
        <v>584</v>
      </c>
      <c r="B222" t="str">
        <f>VLOOKUP(A222,sales_dataset!I:J,2,0)</f>
        <v>Illinois</v>
      </c>
      <c r="C222" t="str">
        <f>VLOOKUP(A222,sales_dataset!I:K,3,0)</f>
        <v>Chicago</v>
      </c>
      <c r="D222" t="str">
        <f>IFERROR(_xlfn.XLOOKUP(A222,sales_dataset!I:I,sales_dataset!G:G),"Not Found")</f>
        <v>UPI</v>
      </c>
    </row>
    <row r="223" spans="1:4">
      <c r="A223" s="4" t="s">
        <v>585</v>
      </c>
      <c r="B223" t="str">
        <f>VLOOKUP(A223,sales_dataset!I:J,2,0)</f>
        <v>New York</v>
      </c>
      <c r="C223" t="str">
        <f>VLOOKUP(A223,sales_dataset!I:K,3,0)</f>
        <v>Buffalo</v>
      </c>
      <c r="D223" t="str">
        <f>IFERROR(_xlfn.XLOOKUP(A223,sales_dataset!I:I,sales_dataset!G:G),"Not Found")</f>
        <v>UPI</v>
      </c>
    </row>
    <row r="224" spans="1:4">
      <c r="A224" s="6" t="s">
        <v>338</v>
      </c>
      <c r="B224" t="str">
        <f>VLOOKUP(A224,sales_dataset!I:J,2,0)</f>
        <v>Ohio</v>
      </c>
      <c r="C224" t="str">
        <f>VLOOKUP(A224,sales_dataset!I:K,3,0)</f>
        <v>Cincinnati</v>
      </c>
      <c r="D224" t="str">
        <f>IFERROR(_xlfn.XLOOKUP(A224,sales_dataset!I:I,sales_dataset!G:G),"Not Found")</f>
        <v>Credit Card</v>
      </c>
    </row>
    <row r="225" spans="1:4">
      <c r="A225" s="4" t="s">
        <v>587</v>
      </c>
      <c r="B225" t="str">
        <f>VLOOKUP(A225,sales_dataset!I:J,2,0)</f>
        <v>Texas</v>
      </c>
      <c r="C225" t="str">
        <f>VLOOKUP(A225,sales_dataset!I:K,3,0)</f>
        <v>Houston</v>
      </c>
      <c r="D225" t="str">
        <f>IFERROR(_xlfn.XLOOKUP(A225,sales_dataset!I:I,sales_dataset!G:G),"Not Found")</f>
        <v>Debit Card</v>
      </c>
    </row>
    <row r="226" spans="1:4">
      <c r="A226" s="4" t="s">
        <v>590</v>
      </c>
      <c r="B226" t="str">
        <f>VLOOKUP(A226,sales_dataset!I:J,2,0)</f>
        <v>California</v>
      </c>
      <c r="C226" t="str">
        <f>VLOOKUP(A226,sales_dataset!I:K,3,0)</f>
        <v>Los Angeles</v>
      </c>
      <c r="D226" t="str">
        <f>IFERROR(_xlfn.XLOOKUP(A226,sales_dataset!I:I,sales_dataset!G:G),"Not Found")</f>
        <v>UPI</v>
      </c>
    </row>
    <row r="227" spans="1:4">
      <c r="A227" s="6" t="s">
        <v>592</v>
      </c>
      <c r="B227" t="str">
        <f>VLOOKUP(A227,sales_dataset!I:J,2,0)</f>
        <v>Illinois</v>
      </c>
      <c r="C227" t="str">
        <f>VLOOKUP(A227,sales_dataset!I:K,3,0)</f>
        <v>Chicago</v>
      </c>
      <c r="D227" t="str">
        <f>IFERROR(_xlfn.XLOOKUP(A227,sales_dataset!I:I,sales_dataset!G:G),"Not Found")</f>
        <v>Credit Card</v>
      </c>
    </row>
    <row r="228" spans="1:4">
      <c r="A228" s="4" t="s">
        <v>593</v>
      </c>
      <c r="B228" t="str">
        <f>VLOOKUP(A228,sales_dataset!I:J,2,0)</f>
        <v>Texas</v>
      </c>
      <c r="C228" t="str">
        <f>VLOOKUP(A228,sales_dataset!I:K,3,0)</f>
        <v>Austin</v>
      </c>
      <c r="D228" t="str">
        <f>IFERROR(_xlfn.XLOOKUP(A228,sales_dataset!I:I,sales_dataset!G:G),"Not Found")</f>
        <v>Credit Card</v>
      </c>
    </row>
    <row r="229" spans="1:4">
      <c r="A229" s="6" t="s">
        <v>595</v>
      </c>
      <c r="B229" t="str">
        <f>VLOOKUP(A229,sales_dataset!I:J,2,0)</f>
        <v>Ohio</v>
      </c>
      <c r="C229" t="str">
        <f>VLOOKUP(A229,sales_dataset!I:K,3,0)</f>
        <v>Cincinnati</v>
      </c>
      <c r="D229" t="str">
        <f>IFERROR(_xlfn.XLOOKUP(A229,sales_dataset!I:I,sales_dataset!G:G),"Not Found")</f>
        <v>Debit Card</v>
      </c>
    </row>
    <row r="230" spans="1:4">
      <c r="A230" s="6" t="s">
        <v>598</v>
      </c>
      <c r="B230" t="str">
        <f>VLOOKUP(A230,sales_dataset!I:J,2,0)</f>
        <v>New York</v>
      </c>
      <c r="C230" t="str">
        <f>VLOOKUP(A230,sales_dataset!I:K,3,0)</f>
        <v>Rochester</v>
      </c>
      <c r="D230" t="str">
        <f>IFERROR(_xlfn.XLOOKUP(A230,sales_dataset!I:I,sales_dataset!G:G),"Not Found")</f>
        <v>Debit Card</v>
      </c>
    </row>
    <row r="231" spans="1:4">
      <c r="A231" s="4" t="s">
        <v>599</v>
      </c>
      <c r="B231" t="str">
        <f>VLOOKUP(A231,sales_dataset!I:J,2,0)</f>
        <v>Illinois</v>
      </c>
      <c r="C231" t="str">
        <f>VLOOKUP(A231,sales_dataset!I:K,3,0)</f>
        <v>Peoria</v>
      </c>
      <c r="D231" t="str">
        <f>IFERROR(_xlfn.XLOOKUP(A231,sales_dataset!I:I,sales_dataset!G:G),"Not Found")</f>
        <v>Debit Card</v>
      </c>
    </row>
    <row r="232" spans="1:4">
      <c r="A232" s="6" t="s">
        <v>602</v>
      </c>
      <c r="B232" t="str">
        <f>VLOOKUP(A232,sales_dataset!I:J,2,0)</f>
        <v>California</v>
      </c>
      <c r="C232" t="str">
        <f>VLOOKUP(A232,sales_dataset!I:K,3,0)</f>
        <v>Los Angeles</v>
      </c>
      <c r="D232" t="str">
        <f>IFERROR(_xlfn.XLOOKUP(A232,sales_dataset!I:I,sales_dataset!G:G),"Not Found")</f>
        <v>Credit Card</v>
      </c>
    </row>
    <row r="233" spans="1:4">
      <c r="A233" s="6" t="s">
        <v>605</v>
      </c>
      <c r="B233" t="str">
        <f>VLOOKUP(A233,sales_dataset!I:J,2,0)</f>
        <v>Florida</v>
      </c>
      <c r="C233" t="str">
        <f>VLOOKUP(A233,sales_dataset!I:K,3,0)</f>
        <v>Orlando</v>
      </c>
      <c r="D233" t="str">
        <f>IFERROR(_xlfn.XLOOKUP(A233,sales_dataset!I:I,sales_dataset!G:G),"Not Found")</f>
        <v>COD</v>
      </c>
    </row>
    <row r="234" spans="1:4">
      <c r="A234" s="4" t="s">
        <v>606</v>
      </c>
      <c r="B234" t="str">
        <f>VLOOKUP(A234,sales_dataset!I:J,2,0)</f>
        <v>Florida</v>
      </c>
      <c r="C234" t="str">
        <f>VLOOKUP(A234,sales_dataset!I:K,3,0)</f>
        <v>Miami</v>
      </c>
      <c r="D234" t="str">
        <f>IFERROR(_xlfn.XLOOKUP(A234,sales_dataset!I:I,sales_dataset!G:G),"Not Found")</f>
        <v>COD</v>
      </c>
    </row>
    <row r="235" spans="1:4">
      <c r="A235" s="6" t="s">
        <v>608</v>
      </c>
      <c r="B235" t="str">
        <f>VLOOKUP(A235,sales_dataset!I:J,2,0)</f>
        <v>California</v>
      </c>
      <c r="C235" t="str">
        <f>VLOOKUP(A235,sales_dataset!I:K,3,0)</f>
        <v>San Francisco</v>
      </c>
      <c r="D235" t="str">
        <f>IFERROR(_xlfn.XLOOKUP(A235,sales_dataset!I:I,sales_dataset!G:G),"Not Found")</f>
        <v>COD</v>
      </c>
    </row>
    <row r="236" spans="1:4">
      <c r="A236" s="4" t="s">
        <v>611</v>
      </c>
      <c r="B236" t="str">
        <f>VLOOKUP(A236,sales_dataset!I:J,2,0)</f>
        <v>California</v>
      </c>
      <c r="C236" t="str">
        <f>VLOOKUP(A236,sales_dataset!I:K,3,0)</f>
        <v>San Francisco</v>
      </c>
      <c r="D236" t="str">
        <f>IFERROR(_xlfn.XLOOKUP(A236,sales_dataset!I:I,sales_dataset!G:G),"Not Found")</f>
        <v>UPI</v>
      </c>
    </row>
    <row r="237" spans="1:4">
      <c r="A237" s="6" t="s">
        <v>613</v>
      </c>
      <c r="B237" t="str">
        <f>VLOOKUP(A237,sales_dataset!I:J,2,0)</f>
        <v>New York</v>
      </c>
      <c r="C237" t="str">
        <f>VLOOKUP(A237,sales_dataset!I:K,3,0)</f>
        <v>Buffalo</v>
      </c>
      <c r="D237" t="str">
        <f>IFERROR(_xlfn.XLOOKUP(A237,sales_dataset!I:I,sales_dataset!G:G),"Not Found")</f>
        <v>UPI</v>
      </c>
    </row>
    <row r="238" spans="1:4">
      <c r="A238" s="4" t="s">
        <v>615</v>
      </c>
      <c r="B238" t="str">
        <f>VLOOKUP(A238,sales_dataset!I:J,2,0)</f>
        <v>Ohio</v>
      </c>
      <c r="C238" t="str">
        <f>VLOOKUP(A238,sales_dataset!I:K,3,0)</f>
        <v>Cleveland</v>
      </c>
      <c r="D238" t="str">
        <f>IFERROR(_xlfn.XLOOKUP(A238,sales_dataset!I:I,sales_dataset!G:G),"Not Found")</f>
        <v>UPI</v>
      </c>
    </row>
    <row r="239" spans="1:4">
      <c r="A239" s="6" t="s">
        <v>476</v>
      </c>
      <c r="B239" t="str">
        <f>VLOOKUP(A239,sales_dataset!I:J,2,0)</f>
        <v>Illinois</v>
      </c>
      <c r="C239" t="str">
        <f>VLOOKUP(A239,sales_dataset!I:K,3,0)</f>
        <v>Chicago</v>
      </c>
      <c r="D239" t="str">
        <f>IFERROR(_xlfn.XLOOKUP(A239,sales_dataset!I:I,sales_dataset!G:G),"Not Found")</f>
        <v>Credit Card</v>
      </c>
    </row>
    <row r="240" spans="1:4">
      <c r="A240" s="4" t="s">
        <v>209</v>
      </c>
      <c r="B240" t="str">
        <f>VLOOKUP(A240,sales_dataset!I:J,2,0)</f>
        <v>New York</v>
      </c>
      <c r="C240" t="str">
        <f>VLOOKUP(A240,sales_dataset!I:K,3,0)</f>
        <v>New York City</v>
      </c>
      <c r="D240" t="str">
        <f>IFERROR(_xlfn.XLOOKUP(A240,sales_dataset!I:I,sales_dataset!G:G),"Not Found")</f>
        <v>Debit Card</v>
      </c>
    </row>
    <row r="241" spans="1:4">
      <c r="A241" s="6" t="s">
        <v>509</v>
      </c>
      <c r="B241" t="str">
        <f>VLOOKUP(A241,sales_dataset!I:J,2,0)</f>
        <v>Illinois</v>
      </c>
      <c r="C241" t="str">
        <f>VLOOKUP(A241,sales_dataset!I:K,3,0)</f>
        <v>Springfield</v>
      </c>
      <c r="D241" t="str">
        <f>IFERROR(_xlfn.XLOOKUP(A241,sales_dataset!I:I,sales_dataset!G:G),"Not Found")</f>
        <v>EMI</v>
      </c>
    </row>
    <row r="242" spans="1:4">
      <c r="A242" s="4" t="s">
        <v>510</v>
      </c>
      <c r="B242" t="str">
        <f>VLOOKUP(A242,sales_dataset!I:J,2,0)</f>
        <v>Illinois</v>
      </c>
      <c r="C242" t="str">
        <f>VLOOKUP(A242,sales_dataset!I:K,3,0)</f>
        <v>Springfield</v>
      </c>
      <c r="D242" t="str">
        <f>IFERROR(_xlfn.XLOOKUP(A242,sales_dataset!I:I,sales_dataset!G:G),"Not Found")</f>
        <v>EMI</v>
      </c>
    </row>
    <row r="243" spans="1:4">
      <c r="A243" s="6" t="s">
        <v>512</v>
      </c>
      <c r="B243" t="str">
        <f>VLOOKUP(A243,sales_dataset!I:J,2,0)</f>
        <v>California</v>
      </c>
      <c r="C243" t="str">
        <f>VLOOKUP(A243,sales_dataset!I:K,3,0)</f>
        <v>San Diego</v>
      </c>
      <c r="D243" t="str">
        <f>IFERROR(_xlfn.XLOOKUP(A243,sales_dataset!I:I,sales_dataset!G:G),"Not Found")</f>
        <v>EMI</v>
      </c>
    </row>
    <row r="244" spans="1:4">
      <c r="A244" s="6" t="s">
        <v>617</v>
      </c>
      <c r="B244" t="str">
        <f>VLOOKUP(A244,sales_dataset!I:J,2,0)</f>
        <v>New York</v>
      </c>
      <c r="C244" t="str">
        <f>VLOOKUP(A244,sales_dataset!I:K,3,0)</f>
        <v>Rochester</v>
      </c>
      <c r="D244" t="str">
        <f>IFERROR(_xlfn.XLOOKUP(A244,sales_dataset!I:I,sales_dataset!G:G),"Not Found")</f>
        <v>EMI</v>
      </c>
    </row>
    <row r="245" spans="1:4">
      <c r="A245" s="4" t="s">
        <v>619</v>
      </c>
      <c r="B245" t="str">
        <f>VLOOKUP(A245,sales_dataset!I:J,2,0)</f>
        <v>California</v>
      </c>
      <c r="C245" t="str">
        <f>VLOOKUP(A245,sales_dataset!I:K,3,0)</f>
        <v>San Diego</v>
      </c>
      <c r="D245" t="str">
        <f>IFERROR(_xlfn.XLOOKUP(A245,sales_dataset!I:I,sales_dataset!G:G),"Not Found")</f>
        <v>EMI</v>
      </c>
    </row>
    <row r="246" spans="1:4">
      <c r="A246" s="6" t="s">
        <v>620</v>
      </c>
      <c r="B246" t="str">
        <f>VLOOKUP(A246,sales_dataset!I:J,2,0)</f>
        <v>Florida</v>
      </c>
      <c r="C246" t="str">
        <f>VLOOKUP(A246,sales_dataset!I:K,3,0)</f>
        <v>Tampa</v>
      </c>
      <c r="D246" t="str">
        <f>IFERROR(_xlfn.XLOOKUP(A246,sales_dataset!I:I,sales_dataset!G:G),"Not Found")</f>
        <v>EMI</v>
      </c>
    </row>
    <row r="247" spans="1:4">
      <c r="A247" s="4" t="s">
        <v>623</v>
      </c>
      <c r="B247" t="str">
        <f>VLOOKUP(A247,sales_dataset!I:J,2,0)</f>
        <v>Florida</v>
      </c>
      <c r="C247" t="str">
        <f>VLOOKUP(A247,sales_dataset!I:K,3,0)</f>
        <v>Orlando</v>
      </c>
      <c r="D247" t="str">
        <f>IFERROR(_xlfn.XLOOKUP(A247,sales_dataset!I:I,sales_dataset!G:G),"Not Found")</f>
        <v>COD</v>
      </c>
    </row>
    <row r="248" spans="1:4">
      <c r="A248" s="6" t="s">
        <v>624</v>
      </c>
      <c r="B248" t="str">
        <f>VLOOKUP(A248,sales_dataset!I:J,2,0)</f>
        <v>California</v>
      </c>
      <c r="C248" t="str">
        <f>VLOOKUP(A248,sales_dataset!I:K,3,0)</f>
        <v>San Diego</v>
      </c>
      <c r="D248" t="str">
        <f>IFERROR(_xlfn.XLOOKUP(A248,sales_dataset!I:I,sales_dataset!G:G),"Not Found")</f>
        <v>COD</v>
      </c>
    </row>
    <row r="249" spans="1:4">
      <c r="A249" s="4" t="s">
        <v>626</v>
      </c>
      <c r="B249" t="str">
        <f>VLOOKUP(A249,sales_dataset!I:J,2,0)</f>
        <v>Illinois</v>
      </c>
      <c r="C249" t="str">
        <f>VLOOKUP(A249,sales_dataset!I:K,3,0)</f>
        <v>Springfield</v>
      </c>
      <c r="D249" t="str">
        <f>IFERROR(_xlfn.XLOOKUP(A249,sales_dataset!I:I,sales_dataset!G:G),"Not Found")</f>
        <v>EMI</v>
      </c>
    </row>
    <row r="250" spans="1:4">
      <c r="A250" s="6" t="s">
        <v>627</v>
      </c>
      <c r="B250" t="str">
        <f>VLOOKUP(A250,sales_dataset!I:J,2,0)</f>
        <v>California</v>
      </c>
      <c r="C250" t="str">
        <f>VLOOKUP(A250,sales_dataset!I:K,3,0)</f>
        <v>Los Angeles</v>
      </c>
      <c r="D250" t="str">
        <f>IFERROR(_xlfn.XLOOKUP(A250,sales_dataset!I:I,sales_dataset!G:G),"Not Found")</f>
        <v>EMI</v>
      </c>
    </row>
    <row r="251" spans="1:4">
      <c r="A251" s="4" t="s">
        <v>630</v>
      </c>
      <c r="B251" t="str">
        <f>VLOOKUP(A251,sales_dataset!I:J,2,0)</f>
        <v>California</v>
      </c>
      <c r="C251" t="str">
        <f>VLOOKUP(A251,sales_dataset!I:K,3,0)</f>
        <v>San Diego</v>
      </c>
      <c r="D251" t="str">
        <f>IFERROR(_xlfn.XLOOKUP(A251,sales_dataset!I:I,sales_dataset!G:G),"Not Found")</f>
        <v>EMI</v>
      </c>
    </row>
    <row r="252" spans="1:4">
      <c r="A252" s="4" t="s">
        <v>633</v>
      </c>
      <c r="B252" t="str">
        <f>VLOOKUP(A252,sales_dataset!I:J,2,0)</f>
        <v>Ohio</v>
      </c>
      <c r="C252" t="str">
        <f>VLOOKUP(A252,sales_dataset!I:K,3,0)</f>
        <v>Cleveland</v>
      </c>
      <c r="D252" t="str">
        <f>IFERROR(_xlfn.XLOOKUP(A252,sales_dataset!I:I,sales_dataset!G:G),"Not Found")</f>
        <v>Credit Card</v>
      </c>
    </row>
    <row r="253" spans="1:4">
      <c r="A253" s="6" t="s">
        <v>634</v>
      </c>
      <c r="B253" t="str">
        <f>VLOOKUP(A253,sales_dataset!I:J,2,0)</f>
        <v>New York</v>
      </c>
      <c r="C253" t="str">
        <f>VLOOKUP(A253,sales_dataset!I:K,3,0)</f>
        <v>New York City</v>
      </c>
      <c r="D253" t="str">
        <f>IFERROR(_xlfn.XLOOKUP(A253,sales_dataset!I:I,sales_dataset!G:G),"Not Found")</f>
        <v>Credit Card</v>
      </c>
    </row>
    <row r="254" spans="1:4">
      <c r="A254" s="4" t="s">
        <v>636</v>
      </c>
      <c r="B254" t="str">
        <f>VLOOKUP(A254,sales_dataset!I:J,2,0)</f>
        <v>Illinois</v>
      </c>
      <c r="C254" t="str">
        <f>VLOOKUP(A254,sales_dataset!I:K,3,0)</f>
        <v>Chicago</v>
      </c>
      <c r="D254" t="str">
        <f>IFERROR(_xlfn.XLOOKUP(A254,sales_dataset!I:I,sales_dataset!G:G),"Not Found")</f>
        <v>Credit Card</v>
      </c>
    </row>
    <row r="255" spans="1:4">
      <c r="A255" s="4" t="s">
        <v>638</v>
      </c>
      <c r="B255" t="str">
        <f>VLOOKUP(A255,sales_dataset!I:J,2,0)</f>
        <v>New York</v>
      </c>
      <c r="C255" t="str">
        <f>VLOOKUP(A255,sales_dataset!I:K,3,0)</f>
        <v>Buffalo</v>
      </c>
      <c r="D255" t="str">
        <f>IFERROR(_xlfn.XLOOKUP(A255,sales_dataset!I:I,sales_dataset!G:G),"Not Found")</f>
        <v>EMI</v>
      </c>
    </row>
    <row r="256" spans="1:4">
      <c r="A256" s="6" t="s">
        <v>640</v>
      </c>
      <c r="B256" t="str">
        <f>VLOOKUP(A256,sales_dataset!I:J,2,0)</f>
        <v>Ohio</v>
      </c>
      <c r="C256" t="str">
        <f>VLOOKUP(A256,sales_dataset!I:K,3,0)</f>
        <v>Cleveland</v>
      </c>
      <c r="D256" t="str">
        <f>IFERROR(_xlfn.XLOOKUP(A256,sales_dataset!I:I,sales_dataset!G:G),"Not Found")</f>
        <v>EMI</v>
      </c>
    </row>
    <row r="257" spans="1:4">
      <c r="A257" s="4" t="s">
        <v>643</v>
      </c>
      <c r="B257" t="str">
        <f>VLOOKUP(A257,sales_dataset!I:J,2,0)</f>
        <v>California</v>
      </c>
      <c r="C257" t="str">
        <f>VLOOKUP(A257,sales_dataset!I:K,3,0)</f>
        <v>San Diego</v>
      </c>
      <c r="D257" t="str">
        <f>IFERROR(_xlfn.XLOOKUP(A257,sales_dataset!I:I,sales_dataset!G:G),"Not Found")</f>
        <v>UPI</v>
      </c>
    </row>
    <row r="258" spans="1:4">
      <c r="A258" s="6" t="s">
        <v>314</v>
      </c>
      <c r="B258" t="str">
        <f>VLOOKUP(A258,sales_dataset!I:J,2,0)</f>
        <v>New York</v>
      </c>
      <c r="C258" t="str">
        <f>VLOOKUP(A258,sales_dataset!I:K,3,0)</f>
        <v>Rochester</v>
      </c>
      <c r="D258" t="str">
        <f>IFERROR(_xlfn.XLOOKUP(A258,sales_dataset!I:I,sales_dataset!G:G),"Not Found")</f>
        <v>UPI</v>
      </c>
    </row>
    <row r="259" spans="1:4">
      <c r="A259" s="6" t="s">
        <v>645</v>
      </c>
      <c r="B259" t="str">
        <f>VLOOKUP(A259,sales_dataset!I:J,2,0)</f>
        <v>Illinois</v>
      </c>
      <c r="C259" t="str">
        <f>VLOOKUP(A259,sales_dataset!I:K,3,0)</f>
        <v>Peoria</v>
      </c>
      <c r="D259" t="str">
        <f>IFERROR(_xlfn.XLOOKUP(A259,sales_dataset!I:I,sales_dataset!G:G),"Not Found")</f>
        <v>Debit Card</v>
      </c>
    </row>
    <row r="260" spans="1:4">
      <c r="A260" s="6" t="s">
        <v>647</v>
      </c>
      <c r="B260" t="str">
        <f>VLOOKUP(A260,sales_dataset!I:J,2,0)</f>
        <v>Ohio</v>
      </c>
      <c r="C260" t="str">
        <f>VLOOKUP(A260,sales_dataset!I:K,3,0)</f>
        <v>Cleveland</v>
      </c>
      <c r="D260" t="str">
        <f>IFERROR(_xlfn.XLOOKUP(A260,sales_dataset!I:I,sales_dataset!G:G),"Not Found")</f>
        <v>Credit Card</v>
      </c>
    </row>
    <row r="261" spans="1:4">
      <c r="A261" s="4" t="s">
        <v>648</v>
      </c>
      <c r="B261" t="str">
        <f>VLOOKUP(A261,sales_dataset!I:J,2,0)</f>
        <v>Illinois</v>
      </c>
      <c r="C261" t="str">
        <f>VLOOKUP(A261,sales_dataset!I:K,3,0)</f>
        <v>Springfield</v>
      </c>
      <c r="D261" t="str">
        <f>IFERROR(_xlfn.XLOOKUP(A261,sales_dataset!I:I,sales_dataset!G:G),"Not Found")</f>
        <v>Credit Card</v>
      </c>
    </row>
    <row r="262" spans="1:4">
      <c r="A262" s="6" t="s">
        <v>651</v>
      </c>
      <c r="B262" t="str">
        <f>VLOOKUP(A262,sales_dataset!I:J,2,0)</f>
        <v>Florida</v>
      </c>
      <c r="C262" t="str">
        <f>VLOOKUP(A262,sales_dataset!I:K,3,0)</f>
        <v>Orlando</v>
      </c>
      <c r="D262" t="str">
        <f>IFERROR(_xlfn.XLOOKUP(A262,sales_dataset!I:I,sales_dataset!G:G),"Not Found")</f>
        <v>COD</v>
      </c>
    </row>
    <row r="263" spans="1:4">
      <c r="A263" s="6" t="s">
        <v>653</v>
      </c>
      <c r="B263" t="str">
        <f>VLOOKUP(A263,sales_dataset!I:J,2,0)</f>
        <v>Ohio</v>
      </c>
      <c r="C263" t="str">
        <f>VLOOKUP(A263,sales_dataset!I:K,3,0)</f>
        <v>Columbus</v>
      </c>
      <c r="D263" t="str">
        <f>IFERROR(_xlfn.XLOOKUP(A263,sales_dataset!I:I,sales_dataset!G:G),"Not Found")</f>
        <v>COD</v>
      </c>
    </row>
    <row r="264" spans="1:4">
      <c r="A264" s="4" t="s">
        <v>656</v>
      </c>
      <c r="B264" t="str">
        <f>VLOOKUP(A264,sales_dataset!I:J,2,0)</f>
        <v>Ohio</v>
      </c>
      <c r="C264" t="str">
        <f>VLOOKUP(A264,sales_dataset!I:K,3,0)</f>
        <v>Cincinnati</v>
      </c>
      <c r="D264" t="str">
        <f>IFERROR(_xlfn.XLOOKUP(A264,sales_dataset!I:I,sales_dataset!G:G),"Not Found")</f>
        <v>Credit Card</v>
      </c>
    </row>
    <row r="265" spans="1:4">
      <c r="A265" s="6" t="s">
        <v>657</v>
      </c>
      <c r="B265" t="str">
        <f>VLOOKUP(A265,sales_dataset!I:J,2,0)</f>
        <v>California</v>
      </c>
      <c r="C265" t="str">
        <f>VLOOKUP(A265,sales_dataset!I:K,3,0)</f>
        <v>San Diego</v>
      </c>
      <c r="D265" t="str">
        <f>IFERROR(_xlfn.XLOOKUP(A265,sales_dataset!I:I,sales_dataset!G:G),"Not Found")</f>
        <v>Credit Card</v>
      </c>
    </row>
    <row r="266" spans="1:4">
      <c r="A266" s="4" t="s">
        <v>659</v>
      </c>
      <c r="B266" t="str">
        <f>VLOOKUP(A266,sales_dataset!I:J,2,0)</f>
        <v>Texas</v>
      </c>
      <c r="C266" t="str">
        <f>VLOOKUP(A266,sales_dataset!I:K,3,0)</f>
        <v>Houston</v>
      </c>
      <c r="D266" t="str">
        <f>IFERROR(_xlfn.XLOOKUP(A266,sales_dataset!I:I,sales_dataset!G:G),"Not Found")</f>
        <v>Credit Card</v>
      </c>
    </row>
    <row r="267" spans="1:4">
      <c r="A267" s="6" t="s">
        <v>661</v>
      </c>
      <c r="B267" t="str">
        <f>VLOOKUP(A267,sales_dataset!I:J,2,0)</f>
        <v>Ohio</v>
      </c>
      <c r="C267" t="str">
        <f>VLOOKUP(A267,sales_dataset!I:K,3,0)</f>
        <v>Cleveland</v>
      </c>
      <c r="D267" t="str">
        <f>IFERROR(_xlfn.XLOOKUP(A267,sales_dataset!I:I,sales_dataset!G:G),"Not Found")</f>
        <v>Credit Card</v>
      </c>
    </row>
    <row r="268" spans="1:4">
      <c r="A268" s="4" t="s">
        <v>664</v>
      </c>
      <c r="B268" t="str">
        <f>VLOOKUP(A268,sales_dataset!I:J,2,0)</f>
        <v>Florida</v>
      </c>
      <c r="C268" t="str">
        <f>VLOOKUP(A268,sales_dataset!I:K,3,0)</f>
        <v>Orlando</v>
      </c>
      <c r="D268" t="str">
        <f>IFERROR(_xlfn.XLOOKUP(A268,sales_dataset!I:I,sales_dataset!G:G),"Not Found")</f>
        <v>UPI</v>
      </c>
    </row>
    <row r="269" spans="1:4">
      <c r="A269" s="6" t="s">
        <v>667</v>
      </c>
      <c r="B269" t="str">
        <f>VLOOKUP(A269,sales_dataset!I:J,2,0)</f>
        <v>Illinois</v>
      </c>
      <c r="C269" t="str">
        <f>VLOOKUP(A269,sales_dataset!I:K,3,0)</f>
        <v>Springfield</v>
      </c>
      <c r="D269" t="str">
        <f>IFERROR(_xlfn.XLOOKUP(A269,sales_dataset!I:I,sales_dataset!G:G),"Not Found")</f>
        <v>UPI</v>
      </c>
    </row>
    <row r="270" spans="1:4">
      <c r="A270" s="4" t="s">
        <v>669</v>
      </c>
      <c r="B270" t="str">
        <f>VLOOKUP(A270,sales_dataset!I:J,2,0)</f>
        <v>California</v>
      </c>
      <c r="C270" t="str">
        <f>VLOOKUP(A270,sales_dataset!I:K,3,0)</f>
        <v>San Francisco</v>
      </c>
      <c r="D270" t="str">
        <f>IFERROR(_xlfn.XLOOKUP(A270,sales_dataset!I:I,sales_dataset!G:G),"Not Found")</f>
        <v>UPI</v>
      </c>
    </row>
    <row r="271" spans="1:4">
      <c r="A271" s="6" t="s">
        <v>341</v>
      </c>
      <c r="B271" t="str">
        <f>VLOOKUP(A271,sales_dataset!I:J,2,0)</f>
        <v>California</v>
      </c>
      <c r="C271" t="str">
        <f>VLOOKUP(A271,sales_dataset!I:K,3,0)</f>
        <v>San Francisco</v>
      </c>
      <c r="D271" t="str">
        <f>IFERROR(_xlfn.XLOOKUP(A271,sales_dataset!I:I,sales_dataset!G:G),"Not Found")</f>
        <v>Credit Card</v>
      </c>
    </row>
    <row r="272" spans="1:4">
      <c r="A272" s="4" t="s">
        <v>200</v>
      </c>
      <c r="B272" t="str">
        <f>VLOOKUP(A272,sales_dataset!I:J,2,0)</f>
        <v>Texas</v>
      </c>
      <c r="C272" t="str">
        <f>VLOOKUP(A272,sales_dataset!I:K,3,0)</f>
        <v>Dallas</v>
      </c>
      <c r="D272" t="str">
        <f>IFERROR(_xlfn.XLOOKUP(A272,sales_dataset!I:I,sales_dataset!G:G),"Not Found")</f>
        <v>COD</v>
      </c>
    </row>
    <row r="273" spans="1:4">
      <c r="A273" s="6" t="s">
        <v>202</v>
      </c>
      <c r="B273" t="str">
        <f>VLOOKUP(A273,sales_dataset!I:J,2,0)</f>
        <v>Florida</v>
      </c>
      <c r="C273" t="str">
        <f>VLOOKUP(A273,sales_dataset!I:K,3,0)</f>
        <v>Orlando</v>
      </c>
      <c r="D273" t="str">
        <f>IFERROR(_xlfn.XLOOKUP(A273,sales_dataset!I:I,sales_dataset!G:G),"Not Found")</f>
        <v>COD</v>
      </c>
    </row>
    <row r="274" spans="1:4">
      <c r="A274" s="4" t="s">
        <v>204</v>
      </c>
      <c r="B274" t="str">
        <f>VLOOKUP(A274,sales_dataset!I:J,2,0)</f>
        <v>California</v>
      </c>
      <c r="C274" t="str">
        <f>VLOOKUP(A274,sales_dataset!I:K,3,0)</f>
        <v>Los Angeles</v>
      </c>
      <c r="D274" t="str">
        <f>IFERROR(_xlfn.XLOOKUP(A274,sales_dataset!I:I,sales_dataset!G:G),"Not Found")</f>
        <v>COD</v>
      </c>
    </row>
    <row r="275" spans="1:4">
      <c r="A275" s="4" t="s">
        <v>671</v>
      </c>
      <c r="B275" t="str">
        <f>VLOOKUP(A275,sales_dataset!I:J,2,0)</f>
        <v>Illinois</v>
      </c>
      <c r="C275" t="str">
        <f>VLOOKUP(A275,sales_dataset!I:K,3,0)</f>
        <v>Peoria</v>
      </c>
      <c r="D275" t="str">
        <f>IFERROR(_xlfn.XLOOKUP(A275,sales_dataset!I:I,sales_dataset!G:G),"Not Found")</f>
        <v>EMI</v>
      </c>
    </row>
    <row r="276" spans="1:4">
      <c r="A276" s="6" t="s">
        <v>674</v>
      </c>
      <c r="B276" t="str">
        <f>VLOOKUP(A276,sales_dataset!I:J,2,0)</f>
        <v>Florida</v>
      </c>
      <c r="C276" t="str">
        <f>VLOOKUP(A276,sales_dataset!I:K,3,0)</f>
        <v>Miami</v>
      </c>
      <c r="D276" t="str">
        <f>IFERROR(_xlfn.XLOOKUP(A276,sales_dataset!I:I,sales_dataset!G:G),"Not Found")</f>
        <v>COD</v>
      </c>
    </row>
    <row r="277" spans="1:4">
      <c r="A277" s="6" t="s">
        <v>677</v>
      </c>
      <c r="B277" t="str">
        <f>VLOOKUP(A277,sales_dataset!I:J,2,0)</f>
        <v>Texas</v>
      </c>
      <c r="C277" t="str">
        <f>VLOOKUP(A277,sales_dataset!I:K,3,0)</f>
        <v>Dallas</v>
      </c>
      <c r="D277" t="str">
        <f>IFERROR(_xlfn.XLOOKUP(A277,sales_dataset!I:I,sales_dataset!G:G),"Not Found")</f>
        <v>Credit Card</v>
      </c>
    </row>
    <row r="278" spans="1:4">
      <c r="A278" s="4" t="s">
        <v>679</v>
      </c>
      <c r="B278" t="str">
        <f>VLOOKUP(A278,sales_dataset!I:J,2,0)</f>
        <v>Illinois</v>
      </c>
      <c r="C278" t="str">
        <f>VLOOKUP(A278,sales_dataset!I:K,3,0)</f>
        <v>Peoria</v>
      </c>
      <c r="D278" t="str">
        <f>IFERROR(_xlfn.XLOOKUP(A278,sales_dataset!I:I,sales_dataset!G:G),"Not Found")</f>
        <v>UPI</v>
      </c>
    </row>
    <row r="279" spans="1:4">
      <c r="A279" s="6" t="s">
        <v>681</v>
      </c>
      <c r="B279" t="str">
        <f>VLOOKUP(A279,sales_dataset!I:J,2,0)</f>
        <v>New York</v>
      </c>
      <c r="C279" t="str">
        <f>VLOOKUP(A279,sales_dataset!I:K,3,0)</f>
        <v>Rochester</v>
      </c>
      <c r="D279" t="str">
        <f>IFERROR(_xlfn.XLOOKUP(A279,sales_dataset!I:I,sales_dataset!G:G),"Not Found")</f>
        <v>UPI</v>
      </c>
    </row>
    <row r="280" spans="1:4">
      <c r="A280" s="4" t="s">
        <v>683</v>
      </c>
      <c r="B280" t="str">
        <f>VLOOKUP(A280,sales_dataset!I:J,2,0)</f>
        <v>California</v>
      </c>
      <c r="C280" t="str">
        <f>VLOOKUP(A280,sales_dataset!I:K,3,0)</f>
        <v>San Diego</v>
      </c>
      <c r="D280" t="str">
        <f>IFERROR(_xlfn.XLOOKUP(A280,sales_dataset!I:I,sales_dataset!G:G),"Not Found")</f>
        <v>UPI</v>
      </c>
    </row>
    <row r="281" spans="1:4">
      <c r="A281" s="4" t="s">
        <v>686</v>
      </c>
      <c r="B281" t="str">
        <f>VLOOKUP(A281,sales_dataset!I:J,2,0)</f>
        <v>Illinois</v>
      </c>
      <c r="C281" t="str">
        <f>VLOOKUP(A281,sales_dataset!I:K,3,0)</f>
        <v>Peoria</v>
      </c>
      <c r="D281" t="str">
        <f>IFERROR(_xlfn.XLOOKUP(A281,sales_dataset!I:I,sales_dataset!G:G),"Not Found")</f>
        <v>EMI</v>
      </c>
    </row>
    <row r="282" spans="1:4">
      <c r="A282" s="6" t="s">
        <v>688</v>
      </c>
      <c r="B282" t="str">
        <f>VLOOKUP(A282,sales_dataset!I:J,2,0)</f>
        <v>California</v>
      </c>
      <c r="C282" t="str">
        <f>VLOOKUP(A282,sales_dataset!I:K,3,0)</f>
        <v>San Francisco</v>
      </c>
      <c r="D282" t="str">
        <f>IFERROR(_xlfn.XLOOKUP(A282,sales_dataset!I:I,sales_dataset!G:G),"Not Found")</f>
        <v>UPI</v>
      </c>
    </row>
    <row r="283" spans="1:4">
      <c r="A283" s="6" t="s">
        <v>690</v>
      </c>
      <c r="B283" t="str">
        <f>VLOOKUP(A283,sales_dataset!I:J,2,0)</f>
        <v>Florida</v>
      </c>
      <c r="C283" t="str">
        <f>VLOOKUP(A283,sales_dataset!I:K,3,0)</f>
        <v>Miami</v>
      </c>
      <c r="D283" t="str">
        <f>IFERROR(_xlfn.XLOOKUP(A283,sales_dataset!I:I,sales_dataset!G:G),"Not Found")</f>
        <v>UPI</v>
      </c>
    </row>
    <row r="284" spans="1:4">
      <c r="A284" s="4" t="s">
        <v>691</v>
      </c>
      <c r="B284" t="str">
        <f>VLOOKUP(A284,sales_dataset!I:J,2,0)</f>
        <v>Texas</v>
      </c>
      <c r="C284" t="str">
        <f>VLOOKUP(A284,sales_dataset!I:K,3,0)</f>
        <v>Dallas</v>
      </c>
      <c r="D284" t="str">
        <f>IFERROR(_xlfn.XLOOKUP(A284,sales_dataset!I:I,sales_dataset!G:G),"Not Found")</f>
        <v>UPI</v>
      </c>
    </row>
    <row r="285" spans="1:4">
      <c r="A285" s="4" t="s">
        <v>693</v>
      </c>
      <c r="B285" t="str">
        <f>VLOOKUP(A285,sales_dataset!I:J,2,0)</f>
        <v>Ohio</v>
      </c>
      <c r="C285" t="str">
        <f>VLOOKUP(A285,sales_dataset!I:K,3,0)</f>
        <v>Cincinnati</v>
      </c>
      <c r="D285" t="str">
        <f>IFERROR(_xlfn.XLOOKUP(A285,sales_dataset!I:I,sales_dataset!G:G),"Not Found")</f>
        <v>EMI</v>
      </c>
    </row>
    <row r="286" spans="1:4">
      <c r="A286" s="6" t="s">
        <v>538</v>
      </c>
      <c r="B286" t="str">
        <f>VLOOKUP(A286,sales_dataset!I:J,2,0)</f>
        <v>Florida</v>
      </c>
      <c r="C286" t="str">
        <f>VLOOKUP(A286,sales_dataset!I:K,3,0)</f>
        <v>Orlando</v>
      </c>
      <c r="D286" t="str">
        <f>IFERROR(_xlfn.XLOOKUP(A286,sales_dataset!I:I,sales_dataset!G:G),"Not Found")</f>
        <v>COD</v>
      </c>
    </row>
    <row r="287" spans="1:4">
      <c r="A287" s="4" t="s">
        <v>164</v>
      </c>
      <c r="B287" t="str">
        <f>VLOOKUP(A287,sales_dataset!I:J,2,0)</f>
        <v>Florida</v>
      </c>
      <c r="C287" t="str">
        <f>VLOOKUP(A287,sales_dataset!I:K,3,0)</f>
        <v>Miami</v>
      </c>
      <c r="D287" t="str">
        <f>IFERROR(_xlfn.XLOOKUP(A287,sales_dataset!I:I,sales_dataset!G:G),"Not Found")</f>
        <v>EMI</v>
      </c>
    </row>
    <row r="288" spans="1:4">
      <c r="A288" s="4" t="s">
        <v>695</v>
      </c>
      <c r="B288" t="str">
        <f>VLOOKUP(A288,sales_dataset!I:J,2,0)</f>
        <v>Florida</v>
      </c>
      <c r="C288" t="str">
        <f>VLOOKUP(A288,sales_dataset!I:K,3,0)</f>
        <v>Orlando</v>
      </c>
      <c r="D288" t="str">
        <f>IFERROR(_xlfn.XLOOKUP(A288,sales_dataset!I:I,sales_dataset!G:G),"Not Found")</f>
        <v>Credit Card</v>
      </c>
    </row>
    <row r="289" spans="1:4">
      <c r="A289" s="6" t="s">
        <v>696</v>
      </c>
      <c r="B289" t="str">
        <f>VLOOKUP(A289,sales_dataset!I:J,2,0)</f>
        <v>Illinois</v>
      </c>
      <c r="C289" t="str">
        <f>VLOOKUP(A289,sales_dataset!I:K,3,0)</f>
        <v>Chicago</v>
      </c>
      <c r="D289" t="str">
        <f>IFERROR(_xlfn.XLOOKUP(A289,sales_dataset!I:I,sales_dataset!G:G),"Not Found")</f>
        <v>Credit Card</v>
      </c>
    </row>
    <row r="290" spans="1:4">
      <c r="A290" s="4" t="s">
        <v>699</v>
      </c>
      <c r="B290" t="str">
        <f>VLOOKUP(A290,sales_dataset!I:J,2,0)</f>
        <v>Texas</v>
      </c>
      <c r="C290" t="str">
        <f>VLOOKUP(A290,sales_dataset!I:K,3,0)</f>
        <v>Austin</v>
      </c>
      <c r="D290" t="str">
        <f>IFERROR(_xlfn.XLOOKUP(A290,sales_dataset!I:I,sales_dataset!G:G),"Not Found")</f>
        <v>Debit Card</v>
      </c>
    </row>
    <row r="291" spans="1:4">
      <c r="A291" s="4" t="s">
        <v>702</v>
      </c>
      <c r="B291" t="str">
        <f>VLOOKUP(A291,sales_dataset!I:J,2,0)</f>
        <v>New York</v>
      </c>
      <c r="C291" t="str">
        <f>VLOOKUP(A291,sales_dataset!I:K,3,0)</f>
        <v>Rochester</v>
      </c>
      <c r="D291" t="str">
        <f>IFERROR(_xlfn.XLOOKUP(A291,sales_dataset!I:I,sales_dataset!G:G),"Not Found")</f>
        <v>COD</v>
      </c>
    </row>
    <row r="292" spans="1:4">
      <c r="A292" s="4" t="s">
        <v>704</v>
      </c>
      <c r="B292" t="str">
        <f>VLOOKUP(A292,sales_dataset!I:J,2,0)</f>
        <v>Illinois</v>
      </c>
      <c r="C292" t="str">
        <f>VLOOKUP(A292,sales_dataset!I:K,3,0)</f>
        <v>Chicago</v>
      </c>
      <c r="D292" t="str">
        <f>IFERROR(_xlfn.XLOOKUP(A292,sales_dataset!I:I,sales_dataset!G:G),"Not Found")</f>
        <v>COD</v>
      </c>
    </row>
    <row r="293" spans="1:4">
      <c r="A293" s="6" t="s">
        <v>705</v>
      </c>
      <c r="B293" t="str">
        <f>VLOOKUP(A293,sales_dataset!I:J,2,0)</f>
        <v>New York</v>
      </c>
      <c r="C293" t="str">
        <f>VLOOKUP(A293,sales_dataset!I:K,3,0)</f>
        <v>Buffalo</v>
      </c>
      <c r="D293" t="str">
        <f>IFERROR(_xlfn.XLOOKUP(A293,sales_dataset!I:I,sales_dataset!G:G),"Not Found")</f>
        <v>COD</v>
      </c>
    </row>
    <row r="294" spans="1:4">
      <c r="A294" s="4" t="s">
        <v>706</v>
      </c>
      <c r="B294" t="str">
        <f>VLOOKUP(A294,sales_dataset!I:J,2,0)</f>
        <v>Ohio</v>
      </c>
      <c r="C294" t="str">
        <f>VLOOKUP(A294,sales_dataset!I:K,3,0)</f>
        <v>Columbus</v>
      </c>
      <c r="D294" t="str">
        <f>IFERROR(_xlfn.XLOOKUP(A294,sales_dataset!I:I,sales_dataset!G:G),"Not Found")</f>
        <v>COD</v>
      </c>
    </row>
    <row r="295" spans="1:4">
      <c r="A295" s="4" t="s">
        <v>709</v>
      </c>
      <c r="B295" t="str">
        <f>VLOOKUP(A295,sales_dataset!I:J,2,0)</f>
        <v>Ohio</v>
      </c>
      <c r="C295" t="str">
        <f>VLOOKUP(A295,sales_dataset!I:K,3,0)</f>
        <v>Cincinnati</v>
      </c>
      <c r="D295" t="str">
        <f>IFERROR(_xlfn.XLOOKUP(A295,sales_dataset!I:I,sales_dataset!G:G),"Not Found")</f>
        <v>Debit Card</v>
      </c>
    </row>
    <row r="296" spans="1:4">
      <c r="A296" s="6" t="s">
        <v>712</v>
      </c>
      <c r="B296" t="str">
        <f>VLOOKUP(A296,sales_dataset!I:J,2,0)</f>
        <v>Illinois</v>
      </c>
      <c r="C296" t="str">
        <f>VLOOKUP(A296,sales_dataset!I:K,3,0)</f>
        <v>Springfield</v>
      </c>
      <c r="D296" t="str">
        <f>IFERROR(_xlfn.XLOOKUP(A296,sales_dataset!I:I,sales_dataset!G:G),"Not Found")</f>
        <v>Debit Card</v>
      </c>
    </row>
    <row r="297" spans="1:4">
      <c r="A297" s="4" t="s">
        <v>715</v>
      </c>
      <c r="B297" t="str">
        <f>VLOOKUP(A297,sales_dataset!I:J,2,0)</f>
        <v>Texas</v>
      </c>
      <c r="C297" t="str">
        <f>VLOOKUP(A297,sales_dataset!I:K,3,0)</f>
        <v>Dallas</v>
      </c>
      <c r="D297" t="str">
        <f>IFERROR(_xlfn.XLOOKUP(A297,sales_dataset!I:I,sales_dataset!G:G),"Not Found")</f>
        <v>EMI</v>
      </c>
    </row>
    <row r="298" spans="1:4">
      <c r="A298" s="6" t="s">
        <v>718</v>
      </c>
      <c r="B298" t="str">
        <f>VLOOKUP(A298,sales_dataset!I:J,2,0)</f>
        <v>Illinois</v>
      </c>
      <c r="C298" t="str">
        <f>VLOOKUP(A298,sales_dataset!I:K,3,0)</f>
        <v>Springfield</v>
      </c>
      <c r="D298" t="str">
        <f>IFERROR(_xlfn.XLOOKUP(A298,sales_dataset!I:I,sales_dataset!G:G),"Not Found")</f>
        <v>COD</v>
      </c>
    </row>
    <row r="299" spans="1:4">
      <c r="A299" s="6" t="s">
        <v>720</v>
      </c>
      <c r="B299" t="str">
        <f>VLOOKUP(A299,sales_dataset!I:J,2,0)</f>
        <v>Florida</v>
      </c>
      <c r="C299" t="str">
        <f>VLOOKUP(A299,sales_dataset!I:K,3,0)</f>
        <v>Orlando</v>
      </c>
      <c r="D299" t="str">
        <f>IFERROR(_xlfn.XLOOKUP(A299,sales_dataset!I:I,sales_dataset!G:G),"Not Found")</f>
        <v>Credit Card</v>
      </c>
    </row>
    <row r="300" spans="1:4">
      <c r="A300" s="4" t="s">
        <v>722</v>
      </c>
      <c r="B300" t="str">
        <f>VLOOKUP(A300,sales_dataset!I:J,2,0)</f>
        <v>Illinois</v>
      </c>
      <c r="C300" t="str">
        <f>VLOOKUP(A300,sales_dataset!I:K,3,0)</f>
        <v>Springfield</v>
      </c>
      <c r="D300" t="str">
        <f>IFERROR(_xlfn.XLOOKUP(A300,sales_dataset!I:I,sales_dataset!G:G),"Not Found")</f>
        <v>EMI</v>
      </c>
    </row>
    <row r="301" spans="1:4">
      <c r="A301" s="6" t="s">
        <v>724</v>
      </c>
      <c r="B301" t="str">
        <f>VLOOKUP(A301,sales_dataset!I:J,2,0)</f>
        <v>Ohio</v>
      </c>
      <c r="C301" t="str">
        <f>VLOOKUP(A301,sales_dataset!I:K,3,0)</f>
        <v>Columbus</v>
      </c>
      <c r="D301" t="str">
        <f>IFERROR(_xlfn.XLOOKUP(A301,sales_dataset!I:I,sales_dataset!G:G),"Not Found")</f>
        <v>EMI</v>
      </c>
    </row>
    <row r="302" spans="1:4">
      <c r="A302" s="4" t="s">
        <v>726</v>
      </c>
      <c r="B302" t="str">
        <f>VLOOKUP(A302,sales_dataset!I:J,2,0)</f>
        <v>California</v>
      </c>
      <c r="C302" t="str">
        <f>VLOOKUP(A302,sales_dataset!I:K,3,0)</f>
        <v>San Francisco</v>
      </c>
      <c r="D302" t="str">
        <f>IFERROR(_xlfn.XLOOKUP(A302,sales_dataset!I:I,sales_dataset!G:G),"Not Found")</f>
        <v>EMI</v>
      </c>
    </row>
    <row r="303" spans="1:4">
      <c r="A303" s="6" t="s">
        <v>727</v>
      </c>
      <c r="B303" t="str">
        <f>VLOOKUP(A303,sales_dataset!I:J,2,0)</f>
        <v>California</v>
      </c>
      <c r="C303" t="str">
        <f>VLOOKUP(A303,sales_dataset!I:K,3,0)</f>
        <v>San Francisco</v>
      </c>
      <c r="D303" t="str">
        <f>IFERROR(_xlfn.XLOOKUP(A303,sales_dataset!I:I,sales_dataset!G:G),"Not Found")</f>
        <v>EMI</v>
      </c>
    </row>
    <row r="304" spans="1:4">
      <c r="A304" s="6" t="s">
        <v>729</v>
      </c>
      <c r="B304" t="str">
        <f>VLOOKUP(A304,sales_dataset!I:J,2,0)</f>
        <v>Illinois</v>
      </c>
      <c r="C304" t="str">
        <f>VLOOKUP(A304,sales_dataset!I:K,3,0)</f>
        <v>Springfield</v>
      </c>
      <c r="D304" t="str">
        <f>IFERROR(_xlfn.XLOOKUP(A304,sales_dataset!I:I,sales_dataset!G:G),"Not Found")</f>
        <v>UPI</v>
      </c>
    </row>
    <row r="305" spans="1:4">
      <c r="A305" s="6" t="s">
        <v>732</v>
      </c>
      <c r="B305" t="str">
        <f>VLOOKUP(A305,sales_dataset!I:J,2,0)</f>
        <v>California</v>
      </c>
      <c r="C305" t="str">
        <f>VLOOKUP(A305,sales_dataset!I:K,3,0)</f>
        <v>Los Angeles</v>
      </c>
      <c r="D305" t="str">
        <f>IFERROR(_xlfn.XLOOKUP(A305,sales_dataset!I:I,sales_dataset!G:G),"Not Found")</f>
        <v>Debit Card</v>
      </c>
    </row>
    <row r="306" spans="1:4">
      <c r="A306" s="4" t="s">
        <v>734</v>
      </c>
      <c r="B306" t="str">
        <f>VLOOKUP(A306,sales_dataset!I:J,2,0)</f>
        <v>New York</v>
      </c>
      <c r="C306" t="str">
        <f>VLOOKUP(A306,sales_dataset!I:K,3,0)</f>
        <v>Rochester</v>
      </c>
      <c r="D306" t="str">
        <f>IFERROR(_xlfn.XLOOKUP(A306,sales_dataset!I:I,sales_dataset!G:G),"Not Found")</f>
        <v>Debit Card</v>
      </c>
    </row>
    <row r="307" spans="1:4">
      <c r="A307" s="6" t="s">
        <v>737</v>
      </c>
      <c r="B307" t="str">
        <f>VLOOKUP(A307,sales_dataset!I:J,2,0)</f>
        <v>Ohio</v>
      </c>
      <c r="C307" t="str">
        <f>VLOOKUP(A307,sales_dataset!I:K,3,0)</f>
        <v>Columbus</v>
      </c>
      <c r="D307" t="str">
        <f>IFERROR(_xlfn.XLOOKUP(A307,sales_dataset!I:I,sales_dataset!G:G),"Not Found")</f>
        <v>Debit Card</v>
      </c>
    </row>
    <row r="308" spans="1:4">
      <c r="A308" s="4" t="s">
        <v>739</v>
      </c>
      <c r="B308" t="str">
        <f>VLOOKUP(A308,sales_dataset!I:J,2,0)</f>
        <v>California</v>
      </c>
      <c r="C308" t="str">
        <f>VLOOKUP(A308,sales_dataset!I:K,3,0)</f>
        <v>San Diego</v>
      </c>
      <c r="D308" t="str">
        <f>IFERROR(_xlfn.XLOOKUP(A308,sales_dataset!I:I,sales_dataset!G:G),"Not Found")</f>
        <v>Debit Card</v>
      </c>
    </row>
    <row r="309" spans="1:4">
      <c r="A309" s="6" t="s">
        <v>741</v>
      </c>
      <c r="B309" t="str">
        <f>VLOOKUP(A309,sales_dataset!I:J,2,0)</f>
        <v>Florida</v>
      </c>
      <c r="C309" t="str">
        <f>VLOOKUP(A309,sales_dataset!I:K,3,0)</f>
        <v>Tampa</v>
      </c>
      <c r="D309" t="str">
        <f>IFERROR(_xlfn.XLOOKUP(A309,sales_dataset!I:I,sales_dataset!G:G),"Not Found")</f>
        <v>Credit Card</v>
      </c>
    </row>
    <row r="310" spans="1:4">
      <c r="A310" s="4" t="s">
        <v>743</v>
      </c>
      <c r="B310" t="str">
        <f>VLOOKUP(A310,sales_dataset!I:J,2,0)</f>
        <v>Illinois</v>
      </c>
      <c r="C310" t="str">
        <f>VLOOKUP(A310,sales_dataset!I:K,3,0)</f>
        <v>Peoria</v>
      </c>
      <c r="D310" t="str">
        <f>IFERROR(_xlfn.XLOOKUP(A310,sales_dataset!I:I,sales_dataset!G:G),"Not Found")</f>
        <v>Credit Card</v>
      </c>
    </row>
    <row r="311" spans="1:4">
      <c r="A311" s="6" t="s">
        <v>744</v>
      </c>
      <c r="B311" t="str">
        <f>VLOOKUP(A311,sales_dataset!I:J,2,0)</f>
        <v>Florida</v>
      </c>
      <c r="C311" t="str">
        <f>VLOOKUP(A311,sales_dataset!I:K,3,0)</f>
        <v>Miami</v>
      </c>
      <c r="D311" t="str">
        <f>IFERROR(_xlfn.XLOOKUP(A311,sales_dataset!I:I,sales_dataset!G:G),"Not Found")</f>
        <v>Credit Card</v>
      </c>
    </row>
    <row r="312" spans="1:4">
      <c r="A312" s="4" t="s">
        <v>745</v>
      </c>
      <c r="B312" t="str">
        <f>VLOOKUP(A312,sales_dataset!I:J,2,0)</f>
        <v>Texas</v>
      </c>
      <c r="C312" t="str">
        <f>VLOOKUP(A312,sales_dataset!I:K,3,0)</f>
        <v>Houston</v>
      </c>
      <c r="D312" t="str">
        <f>IFERROR(_xlfn.XLOOKUP(A312,sales_dataset!I:I,sales_dataset!G:G),"Not Found")</f>
        <v>Credit Card</v>
      </c>
    </row>
    <row r="313" spans="1:4">
      <c r="A313" s="6" t="s">
        <v>747</v>
      </c>
      <c r="B313" t="str">
        <f>VLOOKUP(A313,sales_dataset!I:J,2,0)</f>
        <v>Illinois</v>
      </c>
      <c r="C313" t="str">
        <f>VLOOKUP(A313,sales_dataset!I:K,3,0)</f>
        <v>Chicago</v>
      </c>
      <c r="D313" t="str">
        <f>IFERROR(_xlfn.XLOOKUP(A313,sales_dataset!I:I,sales_dataset!G:G),"Not Found")</f>
        <v>EMI</v>
      </c>
    </row>
    <row r="314" spans="1:4">
      <c r="A314" s="6" t="s">
        <v>750</v>
      </c>
      <c r="B314" t="str">
        <f>VLOOKUP(A314,sales_dataset!I:J,2,0)</f>
        <v>California</v>
      </c>
      <c r="C314" t="str">
        <f>VLOOKUP(A314,sales_dataset!I:K,3,0)</f>
        <v>San Diego</v>
      </c>
      <c r="D314" t="str">
        <f>IFERROR(_xlfn.XLOOKUP(A314,sales_dataset!I:I,sales_dataset!G:G),"Not Found")</f>
        <v>UPI</v>
      </c>
    </row>
    <row r="315" spans="1:4">
      <c r="A315" s="6" t="s">
        <v>752</v>
      </c>
      <c r="B315" t="str">
        <f>VLOOKUP(A315,sales_dataset!I:J,2,0)</f>
        <v>Texas</v>
      </c>
      <c r="C315" t="str">
        <f>VLOOKUP(A315,sales_dataset!I:K,3,0)</f>
        <v>Austin</v>
      </c>
      <c r="D315" t="str">
        <f>IFERROR(_xlfn.XLOOKUP(A315,sales_dataset!I:I,sales_dataset!G:G),"Not Found")</f>
        <v>EMI</v>
      </c>
    </row>
    <row r="316" spans="1:4">
      <c r="A316" s="6" t="s">
        <v>690</v>
      </c>
      <c r="B316" t="str">
        <f>VLOOKUP(A316,sales_dataset!I:J,2,0)</f>
        <v>Florida</v>
      </c>
      <c r="C316" t="str">
        <f>VLOOKUP(A316,sales_dataset!I:K,3,0)</f>
        <v>Miami</v>
      </c>
      <c r="D316" t="str">
        <f>IFERROR(_xlfn.XLOOKUP(A316,sales_dataset!I:I,sales_dataset!G:G),"Not Found")</f>
        <v>UPI</v>
      </c>
    </row>
    <row r="317" spans="1:4">
      <c r="A317" s="4" t="s">
        <v>691</v>
      </c>
      <c r="B317" t="str">
        <f>VLOOKUP(A317,sales_dataset!I:J,2,0)</f>
        <v>Texas</v>
      </c>
      <c r="C317" t="str">
        <f>VLOOKUP(A317,sales_dataset!I:K,3,0)</f>
        <v>Dallas</v>
      </c>
      <c r="D317" t="str">
        <f>IFERROR(_xlfn.XLOOKUP(A317,sales_dataset!I:I,sales_dataset!G:G),"Not Found")</f>
        <v>UPI</v>
      </c>
    </row>
    <row r="318" spans="1:4">
      <c r="A318" s="4" t="s">
        <v>754</v>
      </c>
      <c r="B318" t="str">
        <f>VLOOKUP(A318,sales_dataset!I:J,2,0)</f>
        <v>California</v>
      </c>
      <c r="C318" t="str">
        <f>VLOOKUP(A318,sales_dataset!I:K,3,0)</f>
        <v>San Diego</v>
      </c>
      <c r="D318" t="str">
        <f>IFERROR(_xlfn.XLOOKUP(A318,sales_dataset!I:I,sales_dataset!G:G),"Not Found")</f>
        <v>UPI</v>
      </c>
    </row>
    <row r="319" spans="1:4">
      <c r="A319" s="4" t="s">
        <v>729</v>
      </c>
      <c r="B319" t="str">
        <f>VLOOKUP(A319,sales_dataset!I:J,2,0)</f>
        <v>Illinois</v>
      </c>
      <c r="C319" t="str">
        <f>VLOOKUP(A319,sales_dataset!I:K,3,0)</f>
        <v>Springfield</v>
      </c>
      <c r="D319" t="str">
        <f>IFERROR(_xlfn.XLOOKUP(A319,sales_dataset!I:I,sales_dataset!G:G),"Not Found")</f>
        <v>UPI</v>
      </c>
    </row>
    <row r="320" spans="1:4">
      <c r="A320" s="4" t="s">
        <v>756</v>
      </c>
      <c r="B320" t="str">
        <f>VLOOKUP(A320,sales_dataset!I:J,2,0)</f>
        <v>Illinois</v>
      </c>
      <c r="C320" t="str">
        <f>VLOOKUP(A320,sales_dataset!I:K,3,0)</f>
        <v>Peoria</v>
      </c>
      <c r="D320" t="str">
        <f>IFERROR(_xlfn.XLOOKUP(A320,sales_dataset!I:I,sales_dataset!G:G),"Not Found")</f>
        <v>COD</v>
      </c>
    </row>
    <row r="321" spans="1:4">
      <c r="A321" s="6" t="s">
        <v>758</v>
      </c>
      <c r="B321" t="str">
        <f>VLOOKUP(A321,sales_dataset!I:J,2,0)</f>
        <v>Ohio</v>
      </c>
      <c r="C321" t="str">
        <f>VLOOKUP(A321,sales_dataset!I:K,3,0)</f>
        <v>Cleveland</v>
      </c>
      <c r="D321" t="str">
        <f>IFERROR(_xlfn.XLOOKUP(A321,sales_dataset!I:I,sales_dataset!G:G),"Not Found")</f>
        <v>UPI</v>
      </c>
    </row>
    <row r="322" spans="1:4">
      <c r="A322" s="4" t="s">
        <v>695</v>
      </c>
      <c r="B322" t="str">
        <f>VLOOKUP(A322,sales_dataset!I:J,2,0)</f>
        <v>Florida</v>
      </c>
      <c r="C322" t="str">
        <f>VLOOKUP(A322,sales_dataset!I:K,3,0)</f>
        <v>Orlando</v>
      </c>
      <c r="D322" t="str">
        <f>IFERROR(_xlfn.XLOOKUP(A322,sales_dataset!I:I,sales_dataset!G:G),"Not Found")</f>
        <v>Credit Card</v>
      </c>
    </row>
    <row r="323" spans="1:4">
      <c r="A323" s="6" t="s">
        <v>696</v>
      </c>
      <c r="B323" t="str">
        <f>VLOOKUP(A323,sales_dataset!I:J,2,0)</f>
        <v>Illinois</v>
      </c>
      <c r="C323" t="str">
        <f>VLOOKUP(A323,sales_dataset!I:K,3,0)</f>
        <v>Chicago</v>
      </c>
      <c r="D323" t="str">
        <f>IFERROR(_xlfn.XLOOKUP(A323,sales_dataset!I:I,sales_dataset!G:G),"Not Found")</f>
        <v>Credit Card</v>
      </c>
    </row>
    <row r="324" spans="1:4">
      <c r="A324" s="4" t="s">
        <v>760</v>
      </c>
      <c r="B324" t="str">
        <f>VLOOKUP(A324,sales_dataset!I:J,2,0)</f>
        <v>Texas</v>
      </c>
      <c r="C324" t="str">
        <f>VLOOKUP(A324,sales_dataset!I:K,3,0)</f>
        <v>Houston</v>
      </c>
      <c r="D324" t="str">
        <f>IFERROR(_xlfn.XLOOKUP(A324,sales_dataset!I:I,sales_dataset!G:G),"Not Found")</f>
        <v>EMI</v>
      </c>
    </row>
    <row r="325" spans="1:4">
      <c r="A325" s="6" t="s">
        <v>293</v>
      </c>
      <c r="B325" t="str">
        <f>VLOOKUP(A325,sales_dataset!I:J,2,0)</f>
        <v>Illinois</v>
      </c>
      <c r="C325" t="str">
        <f>VLOOKUP(A325,sales_dataset!I:K,3,0)</f>
        <v>Springfield</v>
      </c>
      <c r="D325" t="str">
        <f>IFERROR(_xlfn.XLOOKUP(A325,sales_dataset!I:I,sales_dataset!G:G),"Not Found")</f>
        <v>COD</v>
      </c>
    </row>
    <row r="326" spans="1:4">
      <c r="A326" s="6" t="s">
        <v>763</v>
      </c>
      <c r="B326" t="str">
        <f>VLOOKUP(A326,sales_dataset!I:J,2,0)</f>
        <v>Illinois</v>
      </c>
      <c r="C326" t="str">
        <f>VLOOKUP(A326,sales_dataset!I:K,3,0)</f>
        <v>Chicago</v>
      </c>
      <c r="D326" t="str">
        <f>IFERROR(_xlfn.XLOOKUP(A326,sales_dataset!I:I,sales_dataset!G:G),"Not Found")</f>
        <v>COD</v>
      </c>
    </row>
    <row r="327" spans="1:4">
      <c r="A327" s="4" t="s">
        <v>765</v>
      </c>
      <c r="B327" t="str">
        <f>VLOOKUP(A327,sales_dataset!I:J,2,0)</f>
        <v>Texas</v>
      </c>
      <c r="C327" t="str">
        <f>VLOOKUP(A327,sales_dataset!I:K,3,0)</f>
        <v>Austin</v>
      </c>
      <c r="D327" t="str">
        <f>IFERROR(_xlfn.XLOOKUP(A327,sales_dataset!I:I,sales_dataset!G:G),"Not Found")</f>
        <v>COD</v>
      </c>
    </row>
    <row r="328" spans="1:4">
      <c r="A328" s="6" t="s">
        <v>767</v>
      </c>
      <c r="B328" t="str">
        <f>VLOOKUP(A328,sales_dataset!I:J,2,0)</f>
        <v>Illinois</v>
      </c>
      <c r="C328" t="str">
        <f>VLOOKUP(A328,sales_dataset!I:K,3,0)</f>
        <v>Springfield</v>
      </c>
      <c r="D328" t="str">
        <f>IFERROR(_xlfn.XLOOKUP(A328,sales_dataset!I:I,sales_dataset!G:G),"Not Found")</f>
        <v>UPI</v>
      </c>
    </row>
    <row r="329" spans="1:4">
      <c r="A329" s="4" t="s">
        <v>770</v>
      </c>
      <c r="B329" t="str">
        <f>VLOOKUP(A329,sales_dataset!I:J,2,0)</f>
        <v>Texas</v>
      </c>
      <c r="C329" t="str">
        <f>VLOOKUP(A329,sales_dataset!I:K,3,0)</f>
        <v>Houston</v>
      </c>
      <c r="D329" t="str">
        <f>IFERROR(_xlfn.XLOOKUP(A329,sales_dataset!I:I,sales_dataset!G:G),"Not Found")</f>
        <v>COD</v>
      </c>
    </row>
    <row r="330" spans="1:4">
      <c r="A330" s="6" t="s">
        <v>772</v>
      </c>
      <c r="B330" t="str">
        <f>VLOOKUP(A330,sales_dataset!I:J,2,0)</f>
        <v>Texas</v>
      </c>
      <c r="C330" t="str">
        <f>VLOOKUP(A330,sales_dataset!I:K,3,0)</f>
        <v>Houston</v>
      </c>
      <c r="D330" t="str">
        <f>IFERROR(_xlfn.XLOOKUP(A330,sales_dataset!I:I,sales_dataset!G:G),"Not Found")</f>
        <v>COD</v>
      </c>
    </row>
    <row r="331" spans="1:4">
      <c r="A331" s="4" t="s">
        <v>774</v>
      </c>
      <c r="B331" t="str">
        <f>VLOOKUP(A331,sales_dataset!I:J,2,0)</f>
        <v>Texas</v>
      </c>
      <c r="C331" t="str">
        <f>VLOOKUP(A331,sales_dataset!I:K,3,0)</f>
        <v>Dallas</v>
      </c>
      <c r="D331" t="str">
        <f>IFERROR(_xlfn.XLOOKUP(A331,sales_dataset!I:I,sales_dataset!G:G),"Not Found")</f>
        <v>COD</v>
      </c>
    </row>
    <row r="332" spans="1:4">
      <c r="A332" s="4" t="s">
        <v>776</v>
      </c>
      <c r="B332" t="str">
        <f>VLOOKUP(A332,sales_dataset!I:J,2,0)</f>
        <v>Florida</v>
      </c>
      <c r="C332" t="str">
        <f>VLOOKUP(A332,sales_dataset!I:K,3,0)</f>
        <v>Tampa</v>
      </c>
      <c r="D332" t="str">
        <f>IFERROR(_xlfn.XLOOKUP(A332,sales_dataset!I:I,sales_dataset!G:G),"Not Found")</f>
        <v>COD</v>
      </c>
    </row>
    <row r="333" spans="1:4">
      <c r="A333" s="4" t="s">
        <v>779</v>
      </c>
      <c r="B333" t="str">
        <f>VLOOKUP(A333,sales_dataset!I:J,2,0)</f>
        <v>Texas</v>
      </c>
      <c r="C333" t="str">
        <f>VLOOKUP(A333,sales_dataset!I:K,3,0)</f>
        <v>Houston</v>
      </c>
      <c r="D333" t="str">
        <f>IFERROR(_xlfn.XLOOKUP(A333,sales_dataset!I:I,sales_dataset!G:G),"Not Found")</f>
        <v>COD</v>
      </c>
    </row>
    <row r="334" spans="1:4">
      <c r="A334" s="4" t="s">
        <v>782</v>
      </c>
      <c r="B334" t="str">
        <f>VLOOKUP(A334,sales_dataset!I:J,2,0)</f>
        <v>Texas</v>
      </c>
      <c r="C334" t="str">
        <f>VLOOKUP(A334,sales_dataset!I:K,3,0)</f>
        <v>Austin</v>
      </c>
      <c r="D334" t="str">
        <f>IFERROR(_xlfn.XLOOKUP(A334,sales_dataset!I:I,sales_dataset!G:G),"Not Found")</f>
        <v>Debit Card</v>
      </c>
    </row>
    <row r="335" spans="1:4">
      <c r="A335" s="4" t="s">
        <v>579</v>
      </c>
      <c r="B335" t="str">
        <f>VLOOKUP(A335,sales_dataset!I:J,2,0)</f>
        <v>Florida</v>
      </c>
      <c r="C335" t="str">
        <f>VLOOKUP(A335,sales_dataset!I:K,3,0)</f>
        <v>Miami</v>
      </c>
      <c r="D335" t="str">
        <f>IFERROR(_xlfn.XLOOKUP(A335,sales_dataset!I:I,sales_dataset!G:G),"Not Found")</f>
        <v>UPI</v>
      </c>
    </row>
    <row r="336" spans="1:4">
      <c r="A336" s="6" t="s">
        <v>784</v>
      </c>
      <c r="B336" t="str">
        <f>VLOOKUP(A336,sales_dataset!I:J,2,0)</f>
        <v>Ohio</v>
      </c>
      <c r="C336" t="str">
        <f>VLOOKUP(A336,sales_dataset!I:K,3,0)</f>
        <v>Cleveland</v>
      </c>
      <c r="D336" t="str">
        <f>IFERROR(_xlfn.XLOOKUP(A336,sales_dataset!I:I,sales_dataset!G:G),"Not Found")</f>
        <v>COD</v>
      </c>
    </row>
    <row r="337" spans="1:4">
      <c r="A337" s="4" t="s">
        <v>785</v>
      </c>
      <c r="B337" t="str">
        <f>VLOOKUP(A337,sales_dataset!I:J,2,0)</f>
        <v>California</v>
      </c>
      <c r="C337" t="str">
        <f>VLOOKUP(A337,sales_dataset!I:K,3,0)</f>
        <v>Los Angeles</v>
      </c>
      <c r="D337" t="str">
        <f>IFERROR(_xlfn.XLOOKUP(A337,sales_dataset!I:I,sales_dataset!G:G),"Not Found")</f>
        <v>COD</v>
      </c>
    </row>
    <row r="338" spans="1:4">
      <c r="A338" s="4" t="s">
        <v>226</v>
      </c>
      <c r="B338" t="str">
        <f>VLOOKUP(A338,sales_dataset!I:J,2,0)</f>
        <v>Ohio</v>
      </c>
      <c r="C338" t="str">
        <f>VLOOKUP(A338,sales_dataset!I:K,3,0)</f>
        <v>Columbus</v>
      </c>
      <c r="D338" t="str">
        <f>IFERROR(_xlfn.XLOOKUP(A338,sales_dataset!I:I,sales_dataset!G:G),"Not Found")</f>
        <v>UPI</v>
      </c>
    </row>
    <row r="339" spans="1:4">
      <c r="A339" s="4" t="s">
        <v>787</v>
      </c>
      <c r="B339" t="str">
        <f>VLOOKUP(A339,sales_dataset!I:J,2,0)</f>
        <v>Texas</v>
      </c>
      <c r="C339" t="str">
        <f>VLOOKUP(A339,sales_dataset!I:K,3,0)</f>
        <v>Dallas</v>
      </c>
      <c r="D339" t="str">
        <f>IFERROR(_xlfn.XLOOKUP(A339,sales_dataset!I:I,sales_dataset!G:G),"Not Found")</f>
        <v>COD</v>
      </c>
    </row>
    <row r="340" spans="1:4">
      <c r="A340" s="6" t="s">
        <v>789</v>
      </c>
      <c r="B340" t="str">
        <f>VLOOKUP(A340,sales_dataset!I:J,2,0)</f>
        <v>Florida</v>
      </c>
      <c r="C340" t="str">
        <f>VLOOKUP(A340,sales_dataset!I:K,3,0)</f>
        <v>Miami</v>
      </c>
      <c r="D340" t="str">
        <f>IFERROR(_xlfn.XLOOKUP(A340,sales_dataset!I:I,sales_dataset!G:G),"Not Found")</f>
        <v>Debit Card</v>
      </c>
    </row>
    <row r="341" spans="1:4">
      <c r="A341" s="6" t="s">
        <v>791</v>
      </c>
      <c r="B341" t="str">
        <f>VLOOKUP(A341,sales_dataset!I:J,2,0)</f>
        <v>Florida</v>
      </c>
      <c r="C341" t="str">
        <f>VLOOKUP(A341,sales_dataset!I:K,3,0)</f>
        <v>Orlando</v>
      </c>
      <c r="D341" t="str">
        <f>IFERROR(_xlfn.XLOOKUP(A341,sales_dataset!I:I,sales_dataset!G:G),"Not Found")</f>
        <v>EMI</v>
      </c>
    </row>
    <row r="342" spans="1:4">
      <c r="A342" s="6" t="s">
        <v>793</v>
      </c>
      <c r="B342" t="str">
        <f>VLOOKUP(A342,sales_dataset!I:J,2,0)</f>
        <v>New York</v>
      </c>
      <c r="C342" t="str">
        <f>VLOOKUP(A342,sales_dataset!I:K,3,0)</f>
        <v>Buffalo</v>
      </c>
      <c r="D342" t="str">
        <f>IFERROR(_xlfn.XLOOKUP(A342,sales_dataset!I:I,sales_dataset!G:G),"Not Found")</f>
        <v>Credit Card</v>
      </c>
    </row>
    <row r="343" spans="1:4">
      <c r="A343" s="4" t="s">
        <v>796</v>
      </c>
      <c r="B343" t="str">
        <f>VLOOKUP(A343,sales_dataset!I:J,2,0)</f>
        <v>Texas</v>
      </c>
      <c r="C343" t="str">
        <f>VLOOKUP(A343,sales_dataset!I:K,3,0)</f>
        <v>Dallas</v>
      </c>
      <c r="D343" t="str">
        <f>IFERROR(_xlfn.XLOOKUP(A343,sales_dataset!I:I,sales_dataset!G:G),"Not Found")</f>
        <v>Credit Card</v>
      </c>
    </row>
    <row r="344" spans="1:4">
      <c r="A344" s="6" t="s">
        <v>797</v>
      </c>
      <c r="B344" t="str">
        <f>VLOOKUP(A344,sales_dataset!I:J,2,0)</f>
        <v>Texas</v>
      </c>
      <c r="C344" t="str">
        <f>VLOOKUP(A344,sales_dataset!I:K,3,0)</f>
        <v>Houston</v>
      </c>
      <c r="D344" t="str">
        <f>IFERROR(_xlfn.XLOOKUP(A344,sales_dataset!I:I,sales_dataset!G:G),"Not Found")</f>
        <v>Credit Card</v>
      </c>
    </row>
    <row r="345" spans="1:4">
      <c r="A345" s="4" t="s">
        <v>798</v>
      </c>
      <c r="B345" t="str">
        <f>VLOOKUP(A345,sales_dataset!I:J,2,0)</f>
        <v>New York</v>
      </c>
      <c r="C345" t="str">
        <f>VLOOKUP(A345,sales_dataset!I:K,3,0)</f>
        <v>New York City</v>
      </c>
      <c r="D345" t="str">
        <f>IFERROR(_xlfn.XLOOKUP(A345,sales_dataset!I:I,sales_dataset!G:G),"Not Found")</f>
        <v>Credit Card</v>
      </c>
    </row>
    <row r="346" spans="1:4">
      <c r="A346" s="4" t="s">
        <v>789</v>
      </c>
      <c r="B346" t="str">
        <f>VLOOKUP(A346,sales_dataset!I:J,2,0)</f>
        <v>Florida</v>
      </c>
      <c r="C346" t="str">
        <f>VLOOKUP(A346,sales_dataset!I:K,3,0)</f>
        <v>Miami</v>
      </c>
      <c r="D346" t="str">
        <f>IFERROR(_xlfn.XLOOKUP(A346,sales_dataset!I:I,sales_dataset!G:G),"Not Found")</f>
        <v>Debit Card</v>
      </c>
    </row>
    <row r="347" spans="1:4">
      <c r="A347" s="6" t="s">
        <v>800</v>
      </c>
      <c r="B347" t="str">
        <f>VLOOKUP(A347,sales_dataset!I:J,2,0)</f>
        <v>Texas</v>
      </c>
      <c r="C347" t="str">
        <f>VLOOKUP(A347,sales_dataset!I:K,3,0)</f>
        <v>Houston</v>
      </c>
      <c r="D347" t="str">
        <f>IFERROR(_xlfn.XLOOKUP(A347,sales_dataset!I:I,sales_dataset!G:G),"Not Found")</f>
        <v>Debit Card</v>
      </c>
    </row>
    <row r="348" spans="1:4">
      <c r="A348" s="4" t="s">
        <v>803</v>
      </c>
      <c r="B348" t="str">
        <f>VLOOKUP(A348,sales_dataset!I:J,2,0)</f>
        <v>New York</v>
      </c>
      <c r="C348" t="str">
        <f>VLOOKUP(A348,sales_dataset!I:K,3,0)</f>
        <v>New York City</v>
      </c>
      <c r="D348" t="str">
        <f>IFERROR(_xlfn.XLOOKUP(A348,sales_dataset!I:I,sales_dataset!G:G),"Not Found")</f>
        <v>COD</v>
      </c>
    </row>
    <row r="349" spans="1:4">
      <c r="A349" s="4" t="s">
        <v>805</v>
      </c>
      <c r="B349" t="str">
        <f>VLOOKUP(A349,sales_dataset!I:J,2,0)</f>
        <v>Illinois</v>
      </c>
      <c r="C349" t="str">
        <f>VLOOKUP(A349,sales_dataset!I:K,3,0)</f>
        <v>Springfield</v>
      </c>
      <c r="D349" t="str">
        <f>IFERROR(_xlfn.XLOOKUP(A349,sales_dataset!I:I,sales_dataset!G:G),"Not Found")</f>
        <v>Credit Card</v>
      </c>
    </row>
    <row r="350" spans="1:4">
      <c r="A350" s="4" t="s">
        <v>807</v>
      </c>
      <c r="B350" t="str">
        <f>VLOOKUP(A350,sales_dataset!I:J,2,0)</f>
        <v>Illinois</v>
      </c>
      <c r="C350" t="str">
        <f>VLOOKUP(A350,sales_dataset!I:K,3,0)</f>
        <v>Springfield</v>
      </c>
      <c r="D350" t="str">
        <f>IFERROR(_xlfn.XLOOKUP(A350,sales_dataset!I:I,sales_dataset!G:G),"Not Found")</f>
        <v>Credit Card</v>
      </c>
    </row>
    <row r="351" spans="1:4">
      <c r="A351" s="4" t="s">
        <v>810</v>
      </c>
      <c r="B351" t="str">
        <f>VLOOKUP(A351,sales_dataset!I:J,2,0)</f>
        <v>Texas</v>
      </c>
      <c r="C351" t="str">
        <f>VLOOKUP(A351,sales_dataset!I:K,3,0)</f>
        <v>Dallas</v>
      </c>
      <c r="D351" t="str">
        <f>IFERROR(_xlfn.XLOOKUP(A351,sales_dataset!I:I,sales_dataset!G:G),"Not Found")</f>
        <v>Debit Card</v>
      </c>
    </row>
    <row r="352" spans="1:4">
      <c r="A352" s="6" t="s">
        <v>812</v>
      </c>
      <c r="B352" t="str">
        <f>VLOOKUP(A352,sales_dataset!I:J,2,0)</f>
        <v>Ohio</v>
      </c>
      <c r="C352" t="str">
        <f>VLOOKUP(A352,sales_dataset!I:K,3,0)</f>
        <v>Cincinnati</v>
      </c>
      <c r="D352" t="str">
        <f>IFERROR(_xlfn.XLOOKUP(A352,sales_dataset!I:I,sales_dataset!G:G),"Not Found")</f>
        <v>Debit Card</v>
      </c>
    </row>
    <row r="353" spans="1:4">
      <c r="A353" s="4" t="s">
        <v>815</v>
      </c>
      <c r="B353" t="str">
        <f>VLOOKUP(A353,sales_dataset!I:J,2,0)</f>
        <v>New York</v>
      </c>
      <c r="C353" t="str">
        <f>VLOOKUP(A353,sales_dataset!I:K,3,0)</f>
        <v>Rochester</v>
      </c>
      <c r="D353" t="str">
        <f>IFERROR(_xlfn.XLOOKUP(A353,sales_dataset!I:I,sales_dataset!G:G),"Not Found")</f>
        <v>Credit Card</v>
      </c>
    </row>
    <row r="354" spans="1:4">
      <c r="A354" s="4" t="s">
        <v>818</v>
      </c>
      <c r="B354" t="str">
        <f>VLOOKUP(A354,sales_dataset!I:J,2,0)</f>
        <v>New York</v>
      </c>
      <c r="C354" t="str">
        <f>VLOOKUP(A354,sales_dataset!I:K,3,0)</f>
        <v>Rochester</v>
      </c>
      <c r="D354" t="str">
        <f>IFERROR(_xlfn.XLOOKUP(A354,sales_dataset!I:I,sales_dataset!G:G),"Not Found")</f>
        <v>COD</v>
      </c>
    </row>
    <row r="355" spans="1:4">
      <c r="A355" s="6" t="s">
        <v>819</v>
      </c>
      <c r="B355" t="str">
        <f>VLOOKUP(A355,sales_dataset!I:J,2,0)</f>
        <v>New York</v>
      </c>
      <c r="C355" t="str">
        <f>VLOOKUP(A355,sales_dataset!I:K,3,0)</f>
        <v>Buffalo</v>
      </c>
      <c r="D355" t="str">
        <f>IFERROR(_xlfn.XLOOKUP(A355,sales_dataset!I:I,sales_dataset!G:G),"Not Found")</f>
        <v>COD</v>
      </c>
    </row>
    <row r="356" spans="1:4">
      <c r="A356" s="4" t="s">
        <v>226</v>
      </c>
      <c r="B356" t="str">
        <f>VLOOKUP(A356,sales_dataset!I:J,2,0)</f>
        <v>Ohio</v>
      </c>
      <c r="C356" t="str">
        <f>VLOOKUP(A356,sales_dataset!I:K,3,0)</f>
        <v>Columbus</v>
      </c>
      <c r="D356" t="str">
        <f>IFERROR(_xlfn.XLOOKUP(A356,sales_dataset!I:I,sales_dataset!G:G),"Not Found")</f>
        <v>UPI</v>
      </c>
    </row>
    <row r="357" spans="1:4">
      <c r="A357" s="6" t="s">
        <v>822</v>
      </c>
      <c r="B357" t="str">
        <f>VLOOKUP(A357,sales_dataset!I:J,2,0)</f>
        <v>California</v>
      </c>
      <c r="C357" t="str">
        <f>VLOOKUP(A357,sales_dataset!I:K,3,0)</f>
        <v>Los Angeles</v>
      </c>
      <c r="D357" t="str">
        <f>IFERROR(_xlfn.XLOOKUP(A357,sales_dataset!I:I,sales_dataset!G:G),"Not Found")</f>
        <v>COD</v>
      </c>
    </row>
    <row r="358" spans="1:4">
      <c r="A358" s="6" t="s">
        <v>825</v>
      </c>
      <c r="B358" t="str">
        <f>VLOOKUP(A358,sales_dataset!I:J,2,0)</f>
        <v>California</v>
      </c>
      <c r="C358" t="str">
        <f>VLOOKUP(A358,sales_dataset!I:K,3,0)</f>
        <v>San Diego</v>
      </c>
      <c r="D358" t="str">
        <f>IFERROR(_xlfn.XLOOKUP(A358,sales_dataset!I:I,sales_dataset!G:G),"Not Found")</f>
        <v>EMI</v>
      </c>
    </row>
    <row r="359" spans="1:4">
      <c r="A359" s="4" t="s">
        <v>828</v>
      </c>
      <c r="B359" t="str">
        <f>VLOOKUP(A359,sales_dataset!I:J,2,0)</f>
        <v>Florida</v>
      </c>
      <c r="C359" t="str">
        <f>VLOOKUP(A359,sales_dataset!I:K,3,0)</f>
        <v>Miami</v>
      </c>
      <c r="D359" t="str">
        <f>IFERROR(_xlfn.XLOOKUP(A359,sales_dataset!I:I,sales_dataset!G:G),"Not Found")</f>
        <v>Credit Card</v>
      </c>
    </row>
    <row r="360" spans="1:4">
      <c r="A360" s="4" t="s">
        <v>830</v>
      </c>
      <c r="B360" t="str">
        <f>VLOOKUP(A360,sales_dataset!I:J,2,0)</f>
        <v>New York</v>
      </c>
      <c r="C360" t="str">
        <f>VLOOKUP(A360,sales_dataset!I:K,3,0)</f>
        <v>Buffalo</v>
      </c>
      <c r="D360" t="str">
        <f>IFERROR(_xlfn.XLOOKUP(A360,sales_dataset!I:I,sales_dataset!G:G),"Not Found")</f>
        <v>UPI</v>
      </c>
    </row>
    <row r="361" spans="1:4">
      <c r="A361" s="6" t="s">
        <v>832</v>
      </c>
      <c r="B361" t="str">
        <f>VLOOKUP(A361,sales_dataset!I:J,2,0)</f>
        <v>Florida</v>
      </c>
      <c r="C361" t="str">
        <f>VLOOKUP(A361,sales_dataset!I:K,3,0)</f>
        <v>Tampa</v>
      </c>
      <c r="D361" t="str">
        <f>IFERROR(_xlfn.XLOOKUP(A361,sales_dataset!I:I,sales_dataset!G:G),"Not Found")</f>
        <v>UPI</v>
      </c>
    </row>
    <row r="362" spans="1:4">
      <c r="A362" s="6" t="s">
        <v>796</v>
      </c>
      <c r="B362" t="str">
        <f>VLOOKUP(A362,sales_dataset!I:J,2,0)</f>
        <v>Texas</v>
      </c>
      <c r="C362" t="str">
        <f>VLOOKUP(A362,sales_dataset!I:K,3,0)</f>
        <v>Dallas</v>
      </c>
      <c r="D362" t="str">
        <f>IFERROR(_xlfn.XLOOKUP(A362,sales_dataset!I:I,sales_dataset!G:G),"Not Found")</f>
        <v>Credit Card</v>
      </c>
    </row>
    <row r="363" spans="1:4">
      <c r="A363" s="4" t="s">
        <v>797</v>
      </c>
      <c r="B363" t="str">
        <f>VLOOKUP(A363,sales_dataset!I:J,2,0)</f>
        <v>Texas</v>
      </c>
      <c r="C363" t="str">
        <f>VLOOKUP(A363,sales_dataset!I:K,3,0)</f>
        <v>Houston</v>
      </c>
      <c r="D363" t="str">
        <f>IFERROR(_xlfn.XLOOKUP(A363,sales_dataset!I:I,sales_dataset!G:G),"Not Found")</f>
        <v>Credit Card</v>
      </c>
    </row>
    <row r="364" spans="1:4">
      <c r="A364" s="6" t="s">
        <v>798</v>
      </c>
      <c r="B364" t="str">
        <f>VLOOKUP(A364,sales_dataset!I:J,2,0)</f>
        <v>New York</v>
      </c>
      <c r="C364" t="str">
        <f>VLOOKUP(A364,sales_dataset!I:K,3,0)</f>
        <v>New York City</v>
      </c>
      <c r="D364" t="str">
        <f>IFERROR(_xlfn.XLOOKUP(A364,sales_dataset!I:I,sales_dataset!G:G),"Not Found")</f>
        <v>Credit Card</v>
      </c>
    </row>
    <row r="365" spans="1:4">
      <c r="A365" s="4" t="s">
        <v>834</v>
      </c>
      <c r="B365" t="str">
        <f>VLOOKUP(A365,sales_dataset!I:J,2,0)</f>
        <v>Illinois</v>
      </c>
      <c r="C365" t="str">
        <f>VLOOKUP(A365,sales_dataset!I:K,3,0)</f>
        <v>Peoria</v>
      </c>
      <c r="D365" t="str">
        <f>IFERROR(_xlfn.XLOOKUP(A365,sales_dataset!I:I,sales_dataset!G:G),"Not Found")</f>
        <v>EMI</v>
      </c>
    </row>
    <row r="366" spans="1:4">
      <c r="A366" s="4" t="s">
        <v>837</v>
      </c>
      <c r="B366" t="str">
        <f>VLOOKUP(A366,sales_dataset!I:J,2,0)</f>
        <v>Ohio</v>
      </c>
      <c r="C366" t="str">
        <f>VLOOKUP(A366,sales_dataset!I:K,3,0)</f>
        <v>Columbus</v>
      </c>
      <c r="D366" t="str">
        <f>IFERROR(_xlfn.XLOOKUP(A366,sales_dataset!I:I,sales_dataset!G:G),"Not Found")</f>
        <v>COD</v>
      </c>
    </row>
    <row r="367" spans="1:4">
      <c r="A367" s="6" t="s">
        <v>839</v>
      </c>
      <c r="B367" t="str">
        <f>VLOOKUP(A367,sales_dataset!I:J,2,0)</f>
        <v>California</v>
      </c>
      <c r="C367" t="str">
        <f>VLOOKUP(A367,sales_dataset!I:K,3,0)</f>
        <v>San Diego</v>
      </c>
      <c r="D367" t="str">
        <f>IFERROR(_xlfn.XLOOKUP(A367,sales_dataset!I:I,sales_dataset!G:G),"Not Found")</f>
        <v>Credit Card</v>
      </c>
    </row>
    <row r="368" spans="1:4">
      <c r="A368" s="4" t="s">
        <v>842</v>
      </c>
      <c r="B368" t="str">
        <f>VLOOKUP(A368,sales_dataset!I:J,2,0)</f>
        <v>California</v>
      </c>
      <c r="C368" t="str">
        <f>VLOOKUP(A368,sales_dataset!I:K,3,0)</f>
        <v>San Francisco</v>
      </c>
      <c r="D368" t="str">
        <f>IFERROR(_xlfn.XLOOKUP(A368,sales_dataset!I:I,sales_dataset!G:G),"Not Found")</f>
        <v>Credit Card</v>
      </c>
    </row>
    <row r="369" spans="1:4">
      <c r="A369" s="6" t="s">
        <v>844</v>
      </c>
      <c r="B369" t="str">
        <f>VLOOKUP(A369,sales_dataset!I:J,2,0)</f>
        <v>Florida</v>
      </c>
      <c r="C369" t="str">
        <f>VLOOKUP(A369,sales_dataset!I:K,3,0)</f>
        <v>Miami</v>
      </c>
      <c r="D369" t="str">
        <f>IFERROR(_xlfn.XLOOKUP(A369,sales_dataset!I:I,sales_dataset!G:G),"Not Found")</f>
        <v>UPI</v>
      </c>
    </row>
    <row r="370" spans="1:4">
      <c r="A370" s="6" t="s">
        <v>498</v>
      </c>
      <c r="B370" t="str">
        <f>VLOOKUP(A370,sales_dataset!I:J,2,0)</f>
        <v>Florida</v>
      </c>
      <c r="C370" t="str">
        <f>VLOOKUP(A370,sales_dataset!I:K,3,0)</f>
        <v>Miami</v>
      </c>
      <c r="D370" t="str">
        <f>IFERROR(_xlfn.XLOOKUP(A370,sales_dataset!I:I,sales_dataset!G:G),"Not Found")</f>
        <v>EMI</v>
      </c>
    </row>
    <row r="371" spans="1:4">
      <c r="A371" s="4" t="s">
        <v>846</v>
      </c>
      <c r="B371" t="str">
        <f>VLOOKUP(A371,sales_dataset!I:J,2,0)</f>
        <v>Ohio</v>
      </c>
      <c r="C371" t="str">
        <f>VLOOKUP(A371,sales_dataset!I:K,3,0)</f>
        <v>Cincinnati</v>
      </c>
      <c r="D371" t="str">
        <f>IFERROR(_xlfn.XLOOKUP(A371,sales_dataset!I:I,sales_dataset!G:G),"Not Found")</f>
        <v>COD</v>
      </c>
    </row>
    <row r="372" spans="1:4">
      <c r="A372" s="6" t="s">
        <v>849</v>
      </c>
      <c r="B372" t="str">
        <f>VLOOKUP(A372,sales_dataset!I:J,2,0)</f>
        <v>Texas</v>
      </c>
      <c r="C372" t="str">
        <f>VLOOKUP(A372,sales_dataset!I:K,3,0)</f>
        <v>Dallas</v>
      </c>
      <c r="D372" t="str">
        <f>IFERROR(_xlfn.XLOOKUP(A372,sales_dataset!I:I,sales_dataset!G:G),"Not Found")</f>
        <v>UPI</v>
      </c>
    </row>
    <row r="373" spans="1:4">
      <c r="A373" s="4" t="s">
        <v>851</v>
      </c>
      <c r="B373" t="str">
        <f>VLOOKUP(A373,sales_dataset!I:J,2,0)</f>
        <v>Florida</v>
      </c>
      <c r="C373" t="str">
        <f>VLOOKUP(A373,sales_dataset!I:K,3,0)</f>
        <v>Miami</v>
      </c>
      <c r="D373" t="str">
        <f>IFERROR(_xlfn.XLOOKUP(A373,sales_dataset!I:I,sales_dataset!G:G),"Not Found")</f>
        <v>UPI</v>
      </c>
    </row>
    <row r="374" spans="1:4">
      <c r="A374" s="6" t="s">
        <v>853</v>
      </c>
      <c r="B374" t="str">
        <f>VLOOKUP(A374,sales_dataset!I:J,2,0)</f>
        <v>Illinois</v>
      </c>
      <c r="C374" t="str">
        <f>VLOOKUP(A374,sales_dataset!I:K,3,0)</f>
        <v>Springfield</v>
      </c>
      <c r="D374" t="str">
        <f>IFERROR(_xlfn.XLOOKUP(A374,sales_dataset!I:I,sales_dataset!G:G),"Not Found")</f>
        <v>Debit Card</v>
      </c>
    </row>
    <row r="375" spans="1:4">
      <c r="A375" s="6" t="s">
        <v>855</v>
      </c>
      <c r="B375" t="str">
        <f>VLOOKUP(A375,sales_dataset!I:J,2,0)</f>
        <v>New York</v>
      </c>
      <c r="C375" t="str">
        <f>VLOOKUP(A375,sales_dataset!I:K,3,0)</f>
        <v>Buffalo</v>
      </c>
      <c r="D375" t="str">
        <f>IFERROR(_xlfn.XLOOKUP(A375,sales_dataset!I:I,sales_dataset!G:G),"Not Found")</f>
        <v>UPI</v>
      </c>
    </row>
    <row r="376" spans="1:4">
      <c r="A376" s="4" t="s">
        <v>857</v>
      </c>
      <c r="B376" t="str">
        <f>VLOOKUP(A376,sales_dataset!I:J,2,0)</f>
        <v>Florida</v>
      </c>
      <c r="C376" t="str">
        <f>VLOOKUP(A376,sales_dataset!I:K,3,0)</f>
        <v>Orlando</v>
      </c>
      <c r="D376" t="str">
        <f>IFERROR(_xlfn.XLOOKUP(A376,sales_dataset!I:I,sales_dataset!G:G),"Not Found")</f>
        <v>Debit Card</v>
      </c>
    </row>
    <row r="377" spans="1:4">
      <c r="A377" s="4" t="s">
        <v>860</v>
      </c>
      <c r="B377" t="str">
        <f>VLOOKUP(A377,sales_dataset!I:J,2,0)</f>
        <v>Texas</v>
      </c>
      <c r="C377" t="str">
        <f>VLOOKUP(A377,sales_dataset!I:K,3,0)</f>
        <v>Austin</v>
      </c>
      <c r="D377" t="str">
        <f>IFERROR(_xlfn.XLOOKUP(A377,sales_dataset!I:I,sales_dataset!G:G),"Not Found")</f>
        <v>Credit Card</v>
      </c>
    </row>
    <row r="378" spans="1:4">
      <c r="A378" s="6" t="s">
        <v>861</v>
      </c>
      <c r="B378" t="str">
        <f>VLOOKUP(A378,sales_dataset!I:J,2,0)</f>
        <v>California</v>
      </c>
      <c r="C378" t="str">
        <f>VLOOKUP(A378,sales_dataset!I:K,3,0)</f>
        <v>Los Angeles</v>
      </c>
      <c r="D378" t="str">
        <f>IFERROR(_xlfn.XLOOKUP(A378,sales_dataset!I:I,sales_dataset!G:G),"Not Found")</f>
        <v>Credit Card</v>
      </c>
    </row>
    <row r="379" spans="1:4">
      <c r="A379" s="6" t="s">
        <v>863</v>
      </c>
      <c r="B379" t="str">
        <f>VLOOKUP(A379,sales_dataset!I:J,2,0)</f>
        <v>Ohio</v>
      </c>
      <c r="C379" t="str">
        <f>VLOOKUP(A379,sales_dataset!I:K,3,0)</f>
        <v>Cincinnati</v>
      </c>
      <c r="D379" t="str">
        <f>IFERROR(_xlfn.XLOOKUP(A379,sales_dataset!I:I,sales_dataset!G:G),"Not Found")</f>
        <v>Debit Card</v>
      </c>
    </row>
    <row r="380" spans="1:4">
      <c r="A380" s="4" t="s">
        <v>238</v>
      </c>
      <c r="B380" t="str">
        <f>VLOOKUP(A380,sales_dataset!I:J,2,0)</f>
        <v>New York</v>
      </c>
      <c r="C380" t="str">
        <f>VLOOKUP(A380,sales_dataset!I:K,3,0)</f>
        <v>Buffalo</v>
      </c>
      <c r="D380" t="str">
        <f>IFERROR(_xlfn.XLOOKUP(A380,sales_dataset!I:I,sales_dataset!G:G),"Not Found")</f>
        <v>COD</v>
      </c>
    </row>
    <row r="381" spans="1:4">
      <c r="A381" s="6" t="s">
        <v>866</v>
      </c>
      <c r="B381" t="str">
        <f>VLOOKUP(A381,sales_dataset!I:J,2,0)</f>
        <v>Florida</v>
      </c>
      <c r="C381" t="str">
        <f>VLOOKUP(A381,sales_dataset!I:K,3,0)</f>
        <v>Orlando</v>
      </c>
      <c r="D381" t="str">
        <f>IFERROR(_xlfn.XLOOKUP(A381,sales_dataset!I:I,sales_dataset!G:G),"Not Found")</f>
        <v>COD</v>
      </c>
    </row>
    <row r="382" spans="1:4">
      <c r="A382" s="6" t="s">
        <v>446</v>
      </c>
      <c r="B382" t="str">
        <f>VLOOKUP(A382,sales_dataset!I:J,2,0)</f>
        <v>Illinois</v>
      </c>
      <c r="C382" t="str">
        <f>VLOOKUP(A382,sales_dataset!I:K,3,0)</f>
        <v>Chicago</v>
      </c>
      <c r="D382" t="str">
        <f>IFERROR(_xlfn.XLOOKUP(A382,sales_dataset!I:I,sales_dataset!G:G),"Not Found")</f>
        <v>COD</v>
      </c>
    </row>
    <row r="383" spans="1:4">
      <c r="A383" s="4" t="s">
        <v>868</v>
      </c>
      <c r="B383" t="str">
        <f>VLOOKUP(A383,sales_dataset!I:J,2,0)</f>
        <v>Ohio</v>
      </c>
      <c r="C383" t="str">
        <f>VLOOKUP(A383,sales_dataset!I:K,3,0)</f>
        <v>Cleveland</v>
      </c>
      <c r="D383" t="str">
        <f>IFERROR(_xlfn.XLOOKUP(A383,sales_dataset!I:I,sales_dataset!G:G),"Not Found")</f>
        <v>Debit Card</v>
      </c>
    </row>
    <row r="384" spans="1:4">
      <c r="A384" s="4" t="s">
        <v>752</v>
      </c>
      <c r="B384" t="str">
        <f>VLOOKUP(A384,sales_dataset!I:J,2,0)</f>
        <v>Texas</v>
      </c>
      <c r="C384" t="str">
        <f>VLOOKUP(A384,sales_dataset!I:K,3,0)</f>
        <v>Austin</v>
      </c>
      <c r="D384" t="str">
        <f>IFERROR(_xlfn.XLOOKUP(A384,sales_dataset!I:I,sales_dataset!G:G),"Not Found")</f>
        <v>EMI</v>
      </c>
    </row>
    <row r="385" spans="1:4">
      <c r="A385" s="4" t="s">
        <v>360</v>
      </c>
      <c r="B385" t="str">
        <f>VLOOKUP(A385,sales_dataset!I:J,2,0)</f>
        <v>Florida</v>
      </c>
      <c r="C385" t="str">
        <f>VLOOKUP(A385,sales_dataset!I:K,3,0)</f>
        <v>Orlando</v>
      </c>
      <c r="D385" t="str">
        <f>IFERROR(_xlfn.XLOOKUP(A385,sales_dataset!I:I,sales_dataset!G:G),"Not Found")</f>
        <v>COD</v>
      </c>
    </row>
    <row r="386" spans="1:4">
      <c r="A386" s="4" t="s">
        <v>720</v>
      </c>
      <c r="B386" t="str">
        <f>VLOOKUP(A386,sales_dataset!I:J,2,0)</f>
        <v>Florida</v>
      </c>
      <c r="C386" t="str">
        <f>VLOOKUP(A386,sales_dataset!I:K,3,0)</f>
        <v>Orlando</v>
      </c>
      <c r="D386" t="str">
        <f>IFERROR(_xlfn.XLOOKUP(A386,sales_dataset!I:I,sales_dataset!G:G),"Not Found")</f>
        <v>Credit Card</v>
      </c>
    </row>
    <row r="387" spans="1:4">
      <c r="A387" s="4" t="s">
        <v>870</v>
      </c>
      <c r="B387" t="str">
        <f>VLOOKUP(A387,sales_dataset!I:J,2,0)</f>
        <v>California</v>
      </c>
      <c r="C387" t="str">
        <f>VLOOKUP(A387,sales_dataset!I:K,3,0)</f>
        <v>San Francisco</v>
      </c>
      <c r="D387" t="str">
        <f>IFERROR(_xlfn.XLOOKUP(A387,sales_dataset!I:I,sales_dataset!G:G),"Not Found")</f>
        <v>EMI</v>
      </c>
    </row>
    <row r="388" spans="1:4">
      <c r="A388" s="4" t="s">
        <v>872</v>
      </c>
      <c r="B388" t="str">
        <f>VLOOKUP(A388,sales_dataset!I:J,2,0)</f>
        <v>Ohio</v>
      </c>
      <c r="C388" t="str">
        <f>VLOOKUP(A388,sales_dataset!I:K,3,0)</f>
        <v>Cleveland</v>
      </c>
      <c r="D388" t="str">
        <f>IFERROR(_xlfn.XLOOKUP(A388,sales_dataset!I:I,sales_dataset!G:G),"Not Found")</f>
        <v>EMI</v>
      </c>
    </row>
    <row r="389" spans="1:4">
      <c r="A389" s="4" t="s">
        <v>875</v>
      </c>
      <c r="B389" t="str">
        <f>VLOOKUP(A389,sales_dataset!I:J,2,0)</f>
        <v>Florida</v>
      </c>
      <c r="C389" t="str">
        <f>VLOOKUP(A389,sales_dataset!I:K,3,0)</f>
        <v>Miami</v>
      </c>
      <c r="D389" t="str">
        <f>IFERROR(_xlfn.XLOOKUP(A389,sales_dataset!I:I,sales_dataset!G:G),"Not Found")</f>
        <v>EMI</v>
      </c>
    </row>
    <row r="390" spans="1:4">
      <c r="A390" s="4" t="s">
        <v>878</v>
      </c>
      <c r="B390" t="str">
        <f>VLOOKUP(A390,sales_dataset!I:J,2,0)</f>
        <v>Ohio</v>
      </c>
      <c r="C390" t="str">
        <f>VLOOKUP(A390,sales_dataset!I:K,3,0)</f>
        <v>Columbus</v>
      </c>
      <c r="D390" t="str">
        <f>IFERROR(_xlfn.XLOOKUP(A390,sales_dataset!I:I,sales_dataset!G:G),"Not Found")</f>
        <v>Debit Card</v>
      </c>
    </row>
    <row r="391" spans="1:4">
      <c r="A391" s="4" t="s">
        <v>881</v>
      </c>
      <c r="B391" t="str">
        <f>VLOOKUP(A391,sales_dataset!I:J,2,0)</f>
        <v>New York</v>
      </c>
      <c r="C391" t="str">
        <f>VLOOKUP(A391,sales_dataset!I:K,3,0)</f>
        <v>Buffalo</v>
      </c>
      <c r="D391" t="str">
        <f>IFERROR(_xlfn.XLOOKUP(A391,sales_dataset!I:I,sales_dataset!G:G),"Not Found")</f>
        <v>EMI</v>
      </c>
    </row>
    <row r="392" spans="1:4">
      <c r="A392" s="4" t="s">
        <v>884</v>
      </c>
      <c r="B392" t="str">
        <f>VLOOKUP(A392,sales_dataset!I:J,2,0)</f>
        <v>California</v>
      </c>
      <c r="C392" t="str">
        <f>VLOOKUP(A392,sales_dataset!I:K,3,0)</f>
        <v>San Francisco</v>
      </c>
      <c r="D392" t="str">
        <f>IFERROR(_xlfn.XLOOKUP(A392,sales_dataset!I:I,sales_dataset!G:G),"Not Found")</f>
        <v>COD</v>
      </c>
    </row>
    <row r="393" spans="1:4">
      <c r="A393" s="6" t="s">
        <v>885</v>
      </c>
      <c r="B393" t="str">
        <f>VLOOKUP(A393,sales_dataset!I:J,2,0)</f>
        <v>Texas</v>
      </c>
      <c r="C393" t="str">
        <f>VLOOKUP(A393,sales_dataset!I:K,3,0)</f>
        <v>Dallas</v>
      </c>
      <c r="D393" t="str">
        <f>IFERROR(_xlfn.XLOOKUP(A393,sales_dataset!I:I,sales_dataset!G:G),"Not Found")</f>
        <v>COD</v>
      </c>
    </row>
    <row r="394" spans="1:4">
      <c r="A394" s="4" t="s">
        <v>887</v>
      </c>
      <c r="B394" t="str">
        <f>VLOOKUP(A394,sales_dataset!I:J,2,0)</f>
        <v>California</v>
      </c>
      <c r="C394" t="str">
        <f>VLOOKUP(A394,sales_dataset!I:K,3,0)</f>
        <v>San Francisco</v>
      </c>
      <c r="D394" t="str">
        <f>IFERROR(_xlfn.XLOOKUP(A394,sales_dataset!I:I,sales_dataset!G:G),"Not Found")</f>
        <v>Credit Card</v>
      </c>
    </row>
    <row r="395" spans="1:4">
      <c r="A395" s="4" t="s">
        <v>890</v>
      </c>
      <c r="B395" t="str">
        <f>VLOOKUP(A395,sales_dataset!I:J,2,0)</f>
        <v>Texas</v>
      </c>
      <c r="C395" t="str">
        <f>VLOOKUP(A395,sales_dataset!I:K,3,0)</f>
        <v>Austin</v>
      </c>
      <c r="D395" t="str">
        <f>IFERROR(_xlfn.XLOOKUP(A395,sales_dataset!I:I,sales_dataset!G:G),"Not Found")</f>
        <v>Credit Card</v>
      </c>
    </row>
    <row r="396" spans="1:4">
      <c r="A396" s="4" t="s">
        <v>892</v>
      </c>
      <c r="B396" t="str">
        <f>VLOOKUP(A396,sales_dataset!I:J,2,0)</f>
        <v>Illinois</v>
      </c>
      <c r="C396" t="str">
        <f>VLOOKUP(A396,sales_dataset!I:K,3,0)</f>
        <v>Springfield</v>
      </c>
      <c r="D396" t="str">
        <f>IFERROR(_xlfn.XLOOKUP(A396,sales_dataset!I:I,sales_dataset!G:G),"Not Found")</f>
        <v>UPI</v>
      </c>
    </row>
    <row r="397" spans="1:4">
      <c r="A397" s="6" t="s">
        <v>894</v>
      </c>
      <c r="B397" t="str">
        <f>VLOOKUP(A397,sales_dataset!I:J,2,0)</f>
        <v>Illinois</v>
      </c>
      <c r="C397" t="str">
        <f>VLOOKUP(A397,sales_dataset!I:K,3,0)</f>
        <v>Chicago</v>
      </c>
      <c r="D397" t="str">
        <f>IFERROR(_xlfn.XLOOKUP(A397,sales_dataset!I:I,sales_dataset!G:G),"Not Found")</f>
        <v>UPI</v>
      </c>
    </row>
    <row r="398" spans="1:4">
      <c r="A398" s="6" t="s">
        <v>897</v>
      </c>
      <c r="B398" t="str">
        <f>VLOOKUP(A398,sales_dataset!I:J,2,0)</f>
        <v>New York</v>
      </c>
      <c r="C398" t="str">
        <f>VLOOKUP(A398,sales_dataset!I:K,3,0)</f>
        <v>Buffalo</v>
      </c>
      <c r="D398" t="str">
        <f>IFERROR(_xlfn.XLOOKUP(A398,sales_dataset!I:I,sales_dataset!G:G),"Not Found")</f>
        <v>EMI</v>
      </c>
    </row>
    <row r="399" spans="1:4">
      <c r="A399" s="6" t="s">
        <v>900</v>
      </c>
      <c r="B399" t="str">
        <f>VLOOKUP(A399,sales_dataset!I:J,2,0)</f>
        <v>Texas</v>
      </c>
      <c r="C399" t="str">
        <f>VLOOKUP(A399,sales_dataset!I:K,3,0)</f>
        <v>Dallas</v>
      </c>
      <c r="D399" t="str">
        <f>IFERROR(_xlfn.XLOOKUP(A399,sales_dataset!I:I,sales_dataset!G:G),"Not Found")</f>
        <v>UPI</v>
      </c>
    </row>
    <row r="400" spans="1:4">
      <c r="A400" s="4" t="s">
        <v>902</v>
      </c>
      <c r="B400" t="str">
        <f>VLOOKUP(A400,sales_dataset!I:J,2,0)</f>
        <v>California</v>
      </c>
      <c r="C400" t="str">
        <f>VLOOKUP(A400,sales_dataset!I:K,3,0)</f>
        <v>San Diego</v>
      </c>
      <c r="D400" t="str">
        <f>IFERROR(_xlfn.XLOOKUP(A400,sales_dataset!I:I,sales_dataset!G:G),"Not Found")</f>
        <v>UPI</v>
      </c>
    </row>
    <row r="401" spans="1:4">
      <c r="A401" s="4" t="s">
        <v>904</v>
      </c>
      <c r="B401" t="str">
        <f>VLOOKUP(A401,sales_dataset!I:J,2,0)</f>
        <v>Illinois</v>
      </c>
      <c r="C401" t="str">
        <f>VLOOKUP(A401,sales_dataset!I:K,3,0)</f>
        <v>Peoria</v>
      </c>
      <c r="D401" t="str">
        <f>IFERROR(_xlfn.XLOOKUP(A401,sales_dataset!I:I,sales_dataset!G:G),"Not Found")</f>
        <v>UPI</v>
      </c>
    </row>
    <row r="402" spans="1:4">
      <c r="A402" s="4" t="s">
        <v>906</v>
      </c>
      <c r="B402" t="str">
        <f>VLOOKUP(A402,sales_dataset!I:J,2,0)</f>
        <v>Ohio</v>
      </c>
      <c r="C402" t="str">
        <f>VLOOKUP(A402,sales_dataset!I:K,3,0)</f>
        <v>Cincinnati</v>
      </c>
      <c r="D402" t="str">
        <f>IFERROR(_xlfn.XLOOKUP(A402,sales_dataset!I:I,sales_dataset!G:G),"Not Found")</f>
        <v>UPI</v>
      </c>
    </row>
    <row r="403" spans="1:4">
      <c r="A403" s="6" t="s">
        <v>909</v>
      </c>
      <c r="B403" t="str">
        <f>VLOOKUP(A403,sales_dataset!I:J,2,0)</f>
        <v>New York</v>
      </c>
      <c r="C403" t="str">
        <f>VLOOKUP(A403,sales_dataset!I:K,3,0)</f>
        <v>New York City</v>
      </c>
      <c r="D403" t="str">
        <f>IFERROR(_xlfn.XLOOKUP(A403,sales_dataset!I:I,sales_dataset!G:G),"Not Found")</f>
        <v>Debit Card</v>
      </c>
    </row>
    <row r="404" spans="1:4">
      <c r="A404" s="4" t="s">
        <v>911</v>
      </c>
      <c r="B404" t="str">
        <f>VLOOKUP(A404,sales_dataset!I:J,2,0)</f>
        <v>New York</v>
      </c>
      <c r="C404" t="str">
        <f>VLOOKUP(A404,sales_dataset!I:K,3,0)</f>
        <v>Buffalo</v>
      </c>
      <c r="D404" t="str">
        <f>IFERROR(_xlfn.XLOOKUP(A404,sales_dataset!I:I,sales_dataset!G:G),"Not Found")</f>
        <v>Debit Card</v>
      </c>
    </row>
    <row r="405" spans="1:4">
      <c r="A405" s="6" t="s">
        <v>913</v>
      </c>
      <c r="B405" t="str">
        <f>VLOOKUP(A405,sales_dataset!I:J,2,0)</f>
        <v>New York</v>
      </c>
      <c r="C405" t="str">
        <f>VLOOKUP(A405,sales_dataset!I:K,3,0)</f>
        <v>New York City</v>
      </c>
      <c r="D405" t="str">
        <f>IFERROR(_xlfn.XLOOKUP(A405,sales_dataset!I:I,sales_dataset!G:G),"Not Found")</f>
        <v>COD</v>
      </c>
    </row>
    <row r="406" spans="1:4">
      <c r="A406" s="6" t="s">
        <v>915</v>
      </c>
      <c r="B406" t="str">
        <f>VLOOKUP(A406,sales_dataset!I:J,2,0)</f>
        <v>Ohio</v>
      </c>
      <c r="C406" t="str">
        <f>VLOOKUP(A406,sales_dataset!I:K,3,0)</f>
        <v>Cincinnati</v>
      </c>
      <c r="D406" t="str">
        <f>IFERROR(_xlfn.XLOOKUP(A406,sales_dataset!I:I,sales_dataset!G:G),"Not Found")</f>
        <v>Debit Card</v>
      </c>
    </row>
    <row r="407" spans="1:4">
      <c r="A407" s="4" t="s">
        <v>917</v>
      </c>
      <c r="B407" t="str">
        <f>VLOOKUP(A407,sales_dataset!I:J,2,0)</f>
        <v>Texas</v>
      </c>
      <c r="C407" t="str">
        <f>VLOOKUP(A407,sales_dataset!I:K,3,0)</f>
        <v>Austin</v>
      </c>
      <c r="D407" t="str">
        <f>IFERROR(_xlfn.XLOOKUP(A407,sales_dataset!I:I,sales_dataset!G:G),"Not Found")</f>
        <v>Debit Card</v>
      </c>
    </row>
    <row r="408" spans="1:4">
      <c r="A408" s="6" t="s">
        <v>920</v>
      </c>
      <c r="B408" t="str">
        <f>VLOOKUP(A408,sales_dataset!I:J,2,0)</f>
        <v>Ohio</v>
      </c>
      <c r="C408" t="str">
        <f>VLOOKUP(A408,sales_dataset!I:K,3,0)</f>
        <v>Cleveland</v>
      </c>
      <c r="D408" t="str">
        <f>IFERROR(_xlfn.XLOOKUP(A408,sales_dataset!I:I,sales_dataset!G:G),"Not Found")</f>
        <v>UPI</v>
      </c>
    </row>
    <row r="409" spans="1:4">
      <c r="A409" s="4" t="s">
        <v>922</v>
      </c>
      <c r="B409" t="str">
        <f>VLOOKUP(A409,sales_dataset!I:J,2,0)</f>
        <v>Ohio</v>
      </c>
      <c r="C409" t="str">
        <f>VLOOKUP(A409,sales_dataset!I:K,3,0)</f>
        <v>Columbus</v>
      </c>
      <c r="D409" t="str">
        <f>IFERROR(_xlfn.XLOOKUP(A409,sales_dataset!I:I,sales_dataset!G:G),"Not Found")</f>
        <v>UPI</v>
      </c>
    </row>
    <row r="410" spans="1:4">
      <c r="A410" s="4" t="s">
        <v>417</v>
      </c>
      <c r="B410" t="str">
        <f>VLOOKUP(A410,sales_dataset!I:J,2,0)</f>
        <v>New York</v>
      </c>
      <c r="C410" t="str">
        <f>VLOOKUP(A410,sales_dataset!I:K,3,0)</f>
        <v>Buffalo</v>
      </c>
      <c r="D410" t="str">
        <f>IFERROR(_xlfn.XLOOKUP(A410,sales_dataset!I:I,sales_dataset!G:G),"Not Found")</f>
        <v>Debit Card</v>
      </c>
    </row>
    <row r="411" spans="1:4">
      <c r="A411" s="4" t="s">
        <v>925</v>
      </c>
      <c r="B411" t="str">
        <f>VLOOKUP(A411,sales_dataset!I:J,2,0)</f>
        <v>Florida</v>
      </c>
      <c r="C411" t="str">
        <f>VLOOKUP(A411,sales_dataset!I:K,3,0)</f>
        <v>Miami</v>
      </c>
      <c r="D411" t="str">
        <f>IFERROR(_xlfn.XLOOKUP(A411,sales_dataset!I:I,sales_dataset!G:G),"Not Found")</f>
        <v>Debit Card</v>
      </c>
    </row>
    <row r="412" spans="1:4">
      <c r="A412" s="6" t="s">
        <v>927</v>
      </c>
      <c r="B412" t="str">
        <f>VLOOKUP(A412,sales_dataset!I:J,2,0)</f>
        <v>Florida</v>
      </c>
      <c r="C412" t="str">
        <f>VLOOKUP(A412,sales_dataset!I:K,3,0)</f>
        <v>Tampa</v>
      </c>
      <c r="D412" t="str">
        <f>IFERROR(_xlfn.XLOOKUP(A412,sales_dataset!I:I,sales_dataset!G:G),"Not Found")</f>
        <v>Debit Card</v>
      </c>
    </row>
    <row r="413" spans="1:4">
      <c r="A413" s="6" t="s">
        <v>930</v>
      </c>
      <c r="B413" t="str">
        <f>VLOOKUP(A413,sales_dataset!I:J,2,0)</f>
        <v>California</v>
      </c>
      <c r="C413" t="str">
        <f>VLOOKUP(A413,sales_dataset!I:K,3,0)</f>
        <v>San Diego</v>
      </c>
      <c r="D413" t="str">
        <f>IFERROR(_xlfn.XLOOKUP(A413,sales_dataset!I:I,sales_dataset!G:G),"Not Found")</f>
        <v>Debit Card</v>
      </c>
    </row>
    <row r="414" spans="1:4">
      <c r="A414" s="6" t="s">
        <v>933</v>
      </c>
      <c r="B414" t="str">
        <f>VLOOKUP(A414,sales_dataset!I:J,2,0)</f>
        <v>New York</v>
      </c>
      <c r="C414" t="str">
        <f>VLOOKUP(A414,sales_dataset!I:K,3,0)</f>
        <v>New York City</v>
      </c>
      <c r="D414" t="str">
        <f>IFERROR(_xlfn.XLOOKUP(A414,sales_dataset!I:I,sales_dataset!G:G),"Not Found")</f>
        <v>EMI</v>
      </c>
    </row>
    <row r="415" spans="1:4">
      <c r="A415" s="4" t="s">
        <v>934</v>
      </c>
      <c r="B415" t="str">
        <f>VLOOKUP(A415,sales_dataset!I:J,2,0)</f>
        <v>Florida</v>
      </c>
      <c r="C415" t="str">
        <f>VLOOKUP(A415,sales_dataset!I:K,3,0)</f>
        <v>Orlando</v>
      </c>
      <c r="D415" t="str">
        <f>IFERROR(_xlfn.XLOOKUP(A415,sales_dataset!I:I,sales_dataset!G:G),"Not Found")</f>
        <v>EMI</v>
      </c>
    </row>
    <row r="416" spans="1:4">
      <c r="A416" s="4" t="s">
        <v>937</v>
      </c>
      <c r="B416" t="str">
        <f>VLOOKUP(A416,sales_dataset!I:J,2,0)</f>
        <v>Texas</v>
      </c>
      <c r="C416" t="str">
        <f>VLOOKUP(A416,sales_dataset!I:K,3,0)</f>
        <v>Dallas</v>
      </c>
      <c r="D416" t="str">
        <f>IFERROR(_xlfn.XLOOKUP(A416,sales_dataset!I:I,sales_dataset!G:G),"Not Found")</f>
        <v>EMI</v>
      </c>
    </row>
    <row r="417" spans="1:4">
      <c r="A417" s="6" t="s">
        <v>939</v>
      </c>
      <c r="B417" t="str">
        <f>VLOOKUP(A417,sales_dataset!I:J,2,0)</f>
        <v>Texas</v>
      </c>
      <c r="C417" t="str">
        <f>VLOOKUP(A417,sales_dataset!I:K,3,0)</f>
        <v>Houston</v>
      </c>
      <c r="D417" t="str">
        <f>IFERROR(_xlfn.XLOOKUP(A417,sales_dataset!I:I,sales_dataset!G:G),"Not Found")</f>
        <v>EMI</v>
      </c>
    </row>
    <row r="418" spans="1:4">
      <c r="A418" s="6" t="s">
        <v>941</v>
      </c>
      <c r="B418" t="str">
        <f>VLOOKUP(A418,sales_dataset!I:J,2,0)</f>
        <v>Ohio</v>
      </c>
      <c r="C418" t="str">
        <f>VLOOKUP(A418,sales_dataset!I:K,3,0)</f>
        <v>Columbus</v>
      </c>
      <c r="D418" t="str">
        <f>IFERROR(_xlfn.XLOOKUP(A418,sales_dataset!I:I,sales_dataset!G:G),"Not Found")</f>
        <v>UPI</v>
      </c>
    </row>
    <row r="419" spans="1:4">
      <c r="A419" s="4" t="s">
        <v>944</v>
      </c>
      <c r="B419" t="str">
        <f>VLOOKUP(A419,sales_dataset!I:J,2,0)</f>
        <v>Illinois</v>
      </c>
      <c r="C419" t="str">
        <f>VLOOKUP(A419,sales_dataset!I:K,3,0)</f>
        <v>Peoria</v>
      </c>
      <c r="D419" t="str">
        <f>IFERROR(_xlfn.XLOOKUP(A419,sales_dataset!I:I,sales_dataset!G:G),"Not Found")</f>
        <v>UPI</v>
      </c>
    </row>
    <row r="420" spans="1:4">
      <c r="A420" s="4" t="s">
        <v>946</v>
      </c>
      <c r="B420" t="str">
        <f>VLOOKUP(A420,sales_dataset!I:J,2,0)</f>
        <v>Texas</v>
      </c>
      <c r="C420" t="str">
        <f>VLOOKUP(A420,sales_dataset!I:K,3,0)</f>
        <v>Dallas</v>
      </c>
      <c r="D420" t="str">
        <f>IFERROR(_xlfn.XLOOKUP(A420,sales_dataset!I:I,sales_dataset!G:G),"Not Found")</f>
        <v>Credit Card</v>
      </c>
    </row>
    <row r="421" spans="1:4">
      <c r="A421" s="6" t="s">
        <v>948</v>
      </c>
      <c r="B421" t="str">
        <f>VLOOKUP(A421,sales_dataset!I:J,2,0)</f>
        <v>California</v>
      </c>
      <c r="C421" t="str">
        <f>VLOOKUP(A421,sales_dataset!I:K,3,0)</f>
        <v>San Francisco</v>
      </c>
      <c r="D421" t="str">
        <f>IFERROR(_xlfn.XLOOKUP(A421,sales_dataset!I:I,sales_dataset!G:G),"Not Found")</f>
        <v>Credit Card</v>
      </c>
    </row>
    <row r="422" spans="1:4">
      <c r="A422" s="4" t="s">
        <v>951</v>
      </c>
      <c r="B422" t="str">
        <f>VLOOKUP(A422,sales_dataset!I:J,2,0)</f>
        <v>Florida</v>
      </c>
      <c r="C422" t="str">
        <f>VLOOKUP(A422,sales_dataset!I:K,3,0)</f>
        <v>Tampa</v>
      </c>
      <c r="D422" t="str">
        <f>IFERROR(_xlfn.XLOOKUP(A422,sales_dataset!I:I,sales_dataset!G:G),"Not Found")</f>
        <v>EMI</v>
      </c>
    </row>
    <row r="423" spans="1:4">
      <c r="A423" s="6" t="s">
        <v>953</v>
      </c>
      <c r="B423" t="str">
        <f>VLOOKUP(A423,sales_dataset!I:J,2,0)</f>
        <v>Texas</v>
      </c>
      <c r="C423" t="str">
        <f>VLOOKUP(A423,sales_dataset!I:K,3,0)</f>
        <v>Dallas</v>
      </c>
      <c r="D423" t="str">
        <f>IFERROR(_xlfn.XLOOKUP(A423,sales_dataset!I:I,sales_dataset!G:G),"Not Found")</f>
        <v>EMI</v>
      </c>
    </row>
    <row r="424" spans="1:4">
      <c r="A424" s="4" t="s">
        <v>408</v>
      </c>
      <c r="B424" t="str">
        <f>VLOOKUP(A424,sales_dataset!I:J,2,0)</f>
        <v>New York</v>
      </c>
      <c r="C424" t="str">
        <f>VLOOKUP(A424,sales_dataset!I:K,3,0)</f>
        <v>Rochester</v>
      </c>
      <c r="D424" t="str">
        <f>IFERROR(_xlfn.XLOOKUP(A424,sales_dataset!I:I,sales_dataset!G:G),"Not Found")</f>
        <v>Credit Card</v>
      </c>
    </row>
    <row r="425" spans="1:4">
      <c r="A425" s="6" t="s">
        <v>252</v>
      </c>
      <c r="B425" t="str">
        <f>VLOOKUP(A425,sales_dataset!I:J,2,0)</f>
        <v>Texas</v>
      </c>
      <c r="C425" t="str">
        <f>VLOOKUP(A425,sales_dataset!I:K,3,0)</f>
        <v>Houston</v>
      </c>
      <c r="D425" t="str">
        <f>IFERROR(_xlfn.XLOOKUP(A425,sales_dataset!I:I,sales_dataset!G:G),"Not Found")</f>
        <v>COD</v>
      </c>
    </row>
    <row r="426" spans="1:4">
      <c r="A426" s="4" t="s">
        <v>955</v>
      </c>
      <c r="B426" t="str">
        <f>VLOOKUP(A426,sales_dataset!I:J,2,0)</f>
        <v>Florida</v>
      </c>
      <c r="C426" t="str">
        <f>VLOOKUP(A426,sales_dataset!I:K,3,0)</f>
        <v>Orlando</v>
      </c>
      <c r="D426" t="str">
        <f>IFERROR(_xlfn.XLOOKUP(A426,sales_dataset!I:I,sales_dataset!G:G),"Not Found")</f>
        <v>Debit Card</v>
      </c>
    </row>
    <row r="427" spans="1:4">
      <c r="A427" s="6" t="s">
        <v>956</v>
      </c>
      <c r="B427" t="str">
        <f>VLOOKUP(A427,sales_dataset!I:J,2,0)</f>
        <v>Florida</v>
      </c>
      <c r="C427" t="str">
        <f>VLOOKUP(A427,sales_dataset!I:K,3,0)</f>
        <v>Orlando</v>
      </c>
      <c r="D427" t="str">
        <f>IFERROR(_xlfn.XLOOKUP(A427,sales_dataset!I:I,sales_dataset!G:G),"Not Found")</f>
        <v>Debit Card</v>
      </c>
    </row>
    <row r="428" spans="1:4">
      <c r="A428" s="6" t="s">
        <v>959</v>
      </c>
      <c r="B428" t="str">
        <f>VLOOKUP(A428,sales_dataset!I:J,2,0)</f>
        <v>Florida</v>
      </c>
      <c r="C428" t="str">
        <f>VLOOKUP(A428,sales_dataset!I:K,3,0)</f>
        <v>Tampa</v>
      </c>
      <c r="D428" t="str">
        <f>IFERROR(_xlfn.XLOOKUP(A428,sales_dataset!I:I,sales_dataset!G:G),"Not Found")</f>
        <v>Credit Card</v>
      </c>
    </row>
    <row r="429" spans="1:4">
      <c r="A429" s="6" t="s">
        <v>870</v>
      </c>
      <c r="B429" t="str">
        <f>VLOOKUP(A429,sales_dataset!I:J,2,0)</f>
        <v>California</v>
      </c>
      <c r="C429" t="str">
        <f>VLOOKUP(A429,sales_dataset!I:K,3,0)</f>
        <v>San Francisco</v>
      </c>
      <c r="D429" t="str">
        <f>IFERROR(_xlfn.XLOOKUP(A429,sales_dataset!I:I,sales_dataset!G:G),"Not Found")</f>
        <v>EMI</v>
      </c>
    </row>
    <row r="430" spans="1:4">
      <c r="A430" s="6" t="s">
        <v>962</v>
      </c>
      <c r="B430" t="str">
        <f>VLOOKUP(A430,sales_dataset!I:J,2,0)</f>
        <v>Texas</v>
      </c>
      <c r="C430" t="str">
        <f>VLOOKUP(A430,sales_dataset!I:K,3,0)</f>
        <v>Dallas</v>
      </c>
      <c r="D430" t="str">
        <f>IFERROR(_xlfn.XLOOKUP(A430,sales_dataset!I:I,sales_dataset!G:G),"Not Found")</f>
        <v>EMI</v>
      </c>
    </row>
    <row r="431" spans="1:4">
      <c r="A431" s="4" t="s">
        <v>965</v>
      </c>
      <c r="B431" t="str">
        <f>VLOOKUP(A431,sales_dataset!I:J,2,0)</f>
        <v>Florida</v>
      </c>
      <c r="C431" t="str">
        <f>VLOOKUP(A431,sales_dataset!I:K,3,0)</f>
        <v>Orlando</v>
      </c>
      <c r="D431" t="str">
        <f>IFERROR(_xlfn.XLOOKUP(A431,sales_dataset!I:I,sales_dataset!G:G),"Not Found")</f>
        <v>Credit Card</v>
      </c>
    </row>
    <row r="432" spans="1:4">
      <c r="A432" s="6" t="s">
        <v>967</v>
      </c>
      <c r="B432" t="str">
        <f>VLOOKUP(A432,sales_dataset!I:J,2,0)</f>
        <v>Florida</v>
      </c>
      <c r="C432" t="str">
        <f>VLOOKUP(A432,sales_dataset!I:K,3,0)</f>
        <v>Tampa</v>
      </c>
      <c r="D432" t="str">
        <f>IFERROR(_xlfn.XLOOKUP(A432,sales_dataset!I:I,sales_dataset!G:G),"Not Found")</f>
        <v>Credit Card</v>
      </c>
    </row>
    <row r="433" spans="1:4">
      <c r="A433" s="6" t="s">
        <v>693</v>
      </c>
      <c r="B433" t="str">
        <f>VLOOKUP(A433,sales_dataset!I:J,2,0)</f>
        <v>Ohio</v>
      </c>
      <c r="C433" t="str">
        <f>VLOOKUP(A433,sales_dataset!I:K,3,0)</f>
        <v>Cincinnati</v>
      </c>
      <c r="D433" t="str">
        <f>IFERROR(_xlfn.XLOOKUP(A433,sales_dataset!I:I,sales_dataset!G:G),"Not Found")</f>
        <v>EMI</v>
      </c>
    </row>
    <row r="434" spans="1:4">
      <c r="A434" s="6" t="s">
        <v>338</v>
      </c>
      <c r="B434" t="str">
        <f>VLOOKUP(A434,sales_dataset!I:J,2,0)</f>
        <v>Ohio</v>
      </c>
      <c r="C434" t="str">
        <f>VLOOKUP(A434,sales_dataset!I:K,3,0)</f>
        <v>Cincinnati</v>
      </c>
      <c r="D434" t="str">
        <f>IFERROR(_xlfn.XLOOKUP(A434,sales_dataset!I:I,sales_dataset!G:G),"Not Found")</f>
        <v>Credit Card</v>
      </c>
    </row>
    <row r="435" spans="1:4">
      <c r="A435" s="4" t="s">
        <v>970</v>
      </c>
      <c r="B435" t="str">
        <f>VLOOKUP(A435,sales_dataset!I:J,2,0)</f>
        <v>Texas</v>
      </c>
      <c r="C435" t="str">
        <f>VLOOKUP(A435,sales_dataset!I:K,3,0)</f>
        <v>Austin</v>
      </c>
      <c r="D435" t="str">
        <f>IFERROR(_xlfn.XLOOKUP(A435,sales_dataset!I:I,sales_dataset!G:G),"Not Found")</f>
        <v>Debit Card</v>
      </c>
    </row>
    <row r="436" spans="1:4">
      <c r="A436" s="6" t="s">
        <v>971</v>
      </c>
      <c r="B436" t="str">
        <f>VLOOKUP(A436,sales_dataset!I:J,2,0)</f>
        <v>Texas</v>
      </c>
      <c r="C436" t="str">
        <f>VLOOKUP(A436,sales_dataset!I:K,3,0)</f>
        <v>Austin</v>
      </c>
      <c r="D436" t="str">
        <f>IFERROR(_xlfn.XLOOKUP(A436,sales_dataset!I:I,sales_dataset!G:G),"Not Found")</f>
        <v>Debit Card</v>
      </c>
    </row>
    <row r="437" spans="1:4">
      <c r="A437" s="4" t="s">
        <v>974</v>
      </c>
      <c r="B437" t="str">
        <f>VLOOKUP(A437,sales_dataset!I:J,2,0)</f>
        <v>Ohio</v>
      </c>
      <c r="C437" t="str">
        <f>VLOOKUP(A437,sales_dataset!I:K,3,0)</f>
        <v>Columbus</v>
      </c>
      <c r="D437" t="str">
        <f>IFERROR(_xlfn.XLOOKUP(A437,sales_dataset!I:I,sales_dataset!G:G),"Not Found")</f>
        <v>UPI</v>
      </c>
    </row>
    <row r="438" spans="1:4">
      <c r="A438" s="6" t="s">
        <v>976</v>
      </c>
      <c r="B438" t="str">
        <f>VLOOKUP(A438,sales_dataset!I:J,2,0)</f>
        <v>Texas</v>
      </c>
      <c r="C438" t="str">
        <f>VLOOKUP(A438,sales_dataset!I:K,3,0)</f>
        <v>Houston</v>
      </c>
      <c r="D438" t="str">
        <f>IFERROR(_xlfn.XLOOKUP(A438,sales_dataset!I:I,sales_dataset!G:G),"Not Found")</f>
        <v>UPI</v>
      </c>
    </row>
    <row r="439" spans="1:4">
      <c r="A439" s="4" t="s">
        <v>978</v>
      </c>
      <c r="B439" t="str">
        <f>VLOOKUP(A439,sales_dataset!I:J,2,0)</f>
        <v>Ohio</v>
      </c>
      <c r="C439" t="str">
        <f>VLOOKUP(A439,sales_dataset!I:K,3,0)</f>
        <v>Columbus</v>
      </c>
      <c r="D439" t="str">
        <f>IFERROR(_xlfn.XLOOKUP(A439,sales_dataset!I:I,sales_dataset!G:G),"Not Found")</f>
        <v>EMI</v>
      </c>
    </row>
    <row r="440" spans="1:4">
      <c r="A440" s="6" t="s">
        <v>980</v>
      </c>
      <c r="B440" t="str">
        <f>VLOOKUP(A440,sales_dataset!I:J,2,0)</f>
        <v>Florida</v>
      </c>
      <c r="C440" t="str">
        <f>VLOOKUP(A440,sales_dataset!I:K,3,0)</f>
        <v>Orlando</v>
      </c>
      <c r="D440" t="str">
        <f>IFERROR(_xlfn.XLOOKUP(A440,sales_dataset!I:I,sales_dataset!G:G),"Not Found")</f>
        <v>EMI</v>
      </c>
    </row>
    <row r="441" spans="1:4">
      <c r="A441" s="4" t="s">
        <v>982</v>
      </c>
      <c r="B441" t="str">
        <f>VLOOKUP(A441,sales_dataset!I:J,2,0)</f>
        <v>California</v>
      </c>
      <c r="C441" t="str">
        <f>VLOOKUP(A441,sales_dataset!I:K,3,0)</f>
        <v>San Francisco</v>
      </c>
      <c r="D441" t="str">
        <f>IFERROR(_xlfn.XLOOKUP(A441,sales_dataset!I:I,sales_dataset!G:G),"Not Found")</f>
        <v>EMI</v>
      </c>
    </row>
    <row r="442" spans="1:4">
      <c r="A442" s="4" t="s">
        <v>887</v>
      </c>
      <c r="B442" t="str">
        <f>VLOOKUP(A442,sales_dataset!I:J,2,0)</f>
        <v>California</v>
      </c>
      <c r="C442" t="str">
        <f>VLOOKUP(A442,sales_dataset!I:K,3,0)</f>
        <v>San Francisco</v>
      </c>
      <c r="D442" t="str">
        <f>IFERROR(_xlfn.XLOOKUP(A442,sales_dataset!I:I,sales_dataset!G:G),"Not Found")</f>
        <v>Credit Card</v>
      </c>
    </row>
    <row r="443" spans="1:4">
      <c r="A443" s="6" t="s">
        <v>985</v>
      </c>
      <c r="B443" t="str">
        <f>VLOOKUP(A443,sales_dataset!I:J,2,0)</f>
        <v>Ohio</v>
      </c>
      <c r="C443" t="str">
        <f>VLOOKUP(A443,sales_dataset!I:K,3,0)</f>
        <v>Cincinnati</v>
      </c>
      <c r="D443" t="str">
        <f>IFERROR(_xlfn.XLOOKUP(A443,sales_dataset!I:I,sales_dataset!G:G),"Not Found")</f>
        <v>COD</v>
      </c>
    </row>
    <row r="444" spans="1:4">
      <c r="A444" s="4" t="s">
        <v>986</v>
      </c>
      <c r="B444" t="str">
        <f>VLOOKUP(A444,sales_dataset!I:J,2,0)</f>
        <v>Ohio</v>
      </c>
      <c r="C444" t="str">
        <f>VLOOKUP(A444,sales_dataset!I:K,3,0)</f>
        <v>Cleveland</v>
      </c>
      <c r="D444" t="str">
        <f>IFERROR(_xlfn.XLOOKUP(A444,sales_dataset!I:I,sales_dataset!G:G),"Not Found")</f>
        <v>COD</v>
      </c>
    </row>
    <row r="445" spans="1:4">
      <c r="A445" s="4" t="s">
        <v>988</v>
      </c>
      <c r="B445" t="str">
        <f>VLOOKUP(A445,sales_dataset!I:J,2,0)</f>
        <v>New York</v>
      </c>
      <c r="C445" t="str">
        <f>VLOOKUP(A445,sales_dataset!I:K,3,0)</f>
        <v>Rochester</v>
      </c>
      <c r="D445" t="str">
        <f>IFERROR(_xlfn.XLOOKUP(A445,sales_dataset!I:I,sales_dataset!G:G),"Not Found")</f>
        <v>COD</v>
      </c>
    </row>
    <row r="446" spans="1:4">
      <c r="A446" s="4" t="s">
        <v>990</v>
      </c>
      <c r="B446" t="str">
        <f>VLOOKUP(A446,sales_dataset!I:J,2,0)</f>
        <v>Illinois</v>
      </c>
      <c r="C446" t="str">
        <f>VLOOKUP(A446,sales_dataset!I:K,3,0)</f>
        <v>Chicago</v>
      </c>
      <c r="D446" t="str">
        <f>IFERROR(_xlfn.XLOOKUP(A446,sales_dataset!I:I,sales_dataset!G:G),"Not Found")</f>
        <v>EMI</v>
      </c>
    </row>
    <row r="447" spans="1:4">
      <c r="A447" s="6" t="s">
        <v>993</v>
      </c>
      <c r="B447" t="str">
        <f>VLOOKUP(A447,sales_dataset!I:J,2,0)</f>
        <v>Ohio</v>
      </c>
      <c r="C447" t="str">
        <f>VLOOKUP(A447,sales_dataset!I:K,3,0)</f>
        <v>Cleveland</v>
      </c>
      <c r="D447" t="str">
        <f>IFERROR(_xlfn.XLOOKUP(A447,sales_dataset!I:I,sales_dataset!G:G),"Not Found")</f>
        <v>COD</v>
      </c>
    </row>
    <row r="448" spans="1:4">
      <c r="A448" s="4" t="s">
        <v>994</v>
      </c>
      <c r="B448" t="str">
        <f>VLOOKUP(A448,sales_dataset!I:J,2,0)</f>
        <v>California</v>
      </c>
      <c r="C448" t="str">
        <f>VLOOKUP(A448,sales_dataset!I:K,3,0)</f>
        <v>San Diego</v>
      </c>
      <c r="D448" t="str">
        <f>IFERROR(_xlfn.XLOOKUP(A448,sales_dataset!I:I,sales_dataset!G:G),"Not Found")</f>
        <v>COD</v>
      </c>
    </row>
    <row r="449" spans="1:4">
      <c r="A449" s="6" t="s">
        <v>996</v>
      </c>
      <c r="B449" t="str">
        <f>VLOOKUP(A449,sales_dataset!I:J,2,0)</f>
        <v>Illinois</v>
      </c>
      <c r="C449" t="str">
        <f>VLOOKUP(A449,sales_dataset!I:K,3,0)</f>
        <v>Springfield</v>
      </c>
      <c r="D449" t="str">
        <f>IFERROR(_xlfn.XLOOKUP(A449,sales_dataset!I:I,sales_dataset!G:G),"Not Found")</f>
        <v>Credit Card</v>
      </c>
    </row>
    <row r="450" spans="1:4">
      <c r="A450" s="4" t="s">
        <v>997</v>
      </c>
      <c r="B450" t="str">
        <f>VLOOKUP(A450,sales_dataset!I:J,2,0)</f>
        <v>Florida</v>
      </c>
      <c r="C450" t="str">
        <f>VLOOKUP(A450,sales_dataset!I:K,3,0)</f>
        <v>Orlando</v>
      </c>
      <c r="D450" t="str">
        <f>IFERROR(_xlfn.XLOOKUP(A450,sales_dataset!I:I,sales_dataset!G:G),"Not Found")</f>
        <v>Credit Card</v>
      </c>
    </row>
    <row r="451" spans="1:4">
      <c r="A451" s="6" t="s">
        <v>412</v>
      </c>
      <c r="B451" t="str">
        <f>VLOOKUP(A451,sales_dataset!I:J,2,0)</f>
        <v>Texas</v>
      </c>
      <c r="C451" t="str">
        <f>VLOOKUP(A451,sales_dataset!I:K,3,0)</f>
        <v>Austin</v>
      </c>
      <c r="D451" t="str">
        <f>IFERROR(_xlfn.XLOOKUP(A451,sales_dataset!I:I,sales_dataset!G:G),"Not Found")</f>
        <v>Debit Card</v>
      </c>
    </row>
    <row r="452" spans="1:4">
      <c r="A452" s="4" t="s">
        <v>414</v>
      </c>
      <c r="B452" t="str">
        <f>VLOOKUP(A452,sales_dataset!I:J,2,0)</f>
        <v>Ohio</v>
      </c>
      <c r="C452" t="str">
        <f>VLOOKUP(A452,sales_dataset!I:K,3,0)</f>
        <v>Cincinnati</v>
      </c>
      <c r="D452" t="str">
        <f>IFERROR(_xlfn.XLOOKUP(A452,sales_dataset!I:I,sales_dataset!G:G),"Not Found")</f>
        <v>Debit Card</v>
      </c>
    </row>
    <row r="453" spans="1:4">
      <c r="A453" s="6" t="s">
        <v>415</v>
      </c>
      <c r="B453" t="str">
        <f>VLOOKUP(A453,sales_dataset!I:J,2,0)</f>
        <v>Texas</v>
      </c>
      <c r="C453" t="str">
        <f>VLOOKUP(A453,sales_dataset!I:K,3,0)</f>
        <v>Dallas</v>
      </c>
      <c r="D453" t="str">
        <f>IFERROR(_xlfn.XLOOKUP(A453,sales_dataset!I:I,sales_dataset!G:G),"Not Found")</f>
        <v>Debit Card</v>
      </c>
    </row>
    <row r="454" spans="1:4">
      <c r="A454" s="6" t="s">
        <v>561</v>
      </c>
      <c r="B454" t="str">
        <f>VLOOKUP(A454,sales_dataset!I:J,2,0)</f>
        <v>Texas</v>
      </c>
      <c r="C454" t="str">
        <f>VLOOKUP(A454,sales_dataset!I:K,3,0)</f>
        <v>Houston</v>
      </c>
      <c r="D454" t="str">
        <f>IFERROR(_xlfn.XLOOKUP(A454,sales_dataset!I:I,sales_dataset!G:G),"Not Found")</f>
        <v>COD</v>
      </c>
    </row>
    <row r="455" spans="1:4">
      <c r="A455" s="4" t="s">
        <v>563</v>
      </c>
      <c r="B455" t="str">
        <f>VLOOKUP(A455,sales_dataset!I:J,2,0)</f>
        <v>Illinois</v>
      </c>
      <c r="C455" t="str">
        <f>VLOOKUP(A455,sales_dataset!I:K,3,0)</f>
        <v>Chicago</v>
      </c>
      <c r="D455" t="str">
        <f>IFERROR(_xlfn.XLOOKUP(A455,sales_dataset!I:I,sales_dataset!G:G),"Not Found")</f>
        <v>COD</v>
      </c>
    </row>
    <row r="456" spans="1:4">
      <c r="A456" s="6" t="s">
        <v>565</v>
      </c>
      <c r="B456" t="str">
        <f>VLOOKUP(A456,sales_dataset!I:J,2,0)</f>
        <v>California</v>
      </c>
      <c r="C456" t="str">
        <f>VLOOKUP(A456,sales_dataset!I:K,3,0)</f>
        <v>San Francisco</v>
      </c>
      <c r="D456" t="str">
        <f>IFERROR(_xlfn.XLOOKUP(A456,sales_dataset!I:I,sales_dataset!G:G),"Not Found")</f>
        <v>COD</v>
      </c>
    </row>
    <row r="457" spans="1:4">
      <c r="A457" s="6" t="s">
        <v>1000</v>
      </c>
      <c r="B457" t="str">
        <f>VLOOKUP(A457,sales_dataset!I:J,2,0)</f>
        <v>Illinois</v>
      </c>
      <c r="C457" t="str">
        <f>VLOOKUP(A457,sales_dataset!I:K,3,0)</f>
        <v>Springfield</v>
      </c>
      <c r="D457" t="str">
        <f>IFERROR(_xlfn.XLOOKUP(A457,sales_dataset!I:I,sales_dataset!G:G),"Not Found")</f>
        <v>COD</v>
      </c>
    </row>
    <row r="458" spans="1:4">
      <c r="A458" s="4" t="s">
        <v>1002</v>
      </c>
      <c r="B458" t="str">
        <f>VLOOKUP(A458,sales_dataset!I:J,2,0)</f>
        <v>California</v>
      </c>
      <c r="C458" t="str">
        <f>VLOOKUP(A458,sales_dataset!I:K,3,0)</f>
        <v>Los Angeles</v>
      </c>
      <c r="D458" t="str">
        <f>IFERROR(_xlfn.XLOOKUP(A458,sales_dataset!I:I,sales_dataset!G:G),"Not Found")</f>
        <v>Credit Card</v>
      </c>
    </row>
    <row r="459" spans="1:4">
      <c r="A459" s="6" t="s">
        <v>1004</v>
      </c>
      <c r="B459" t="str">
        <f>VLOOKUP(A459,sales_dataset!I:J,2,0)</f>
        <v>Florida</v>
      </c>
      <c r="C459" t="str">
        <f>VLOOKUP(A459,sales_dataset!I:K,3,0)</f>
        <v>Miami</v>
      </c>
      <c r="D459" t="str">
        <f>IFERROR(_xlfn.XLOOKUP(A459,sales_dataset!I:I,sales_dataset!G:G),"Not Found")</f>
        <v>Credit Card</v>
      </c>
    </row>
    <row r="460" spans="1:4">
      <c r="A460" s="6" t="s">
        <v>1006</v>
      </c>
      <c r="B460" t="str">
        <f>VLOOKUP(A460,sales_dataset!I:J,2,0)</f>
        <v>Illinois</v>
      </c>
      <c r="C460" t="str">
        <f>VLOOKUP(A460,sales_dataset!I:K,3,0)</f>
        <v>Springfield</v>
      </c>
      <c r="D460" t="str">
        <f>IFERROR(_xlfn.XLOOKUP(A460,sales_dataset!I:I,sales_dataset!G:G),"Not Found")</f>
        <v>EMI</v>
      </c>
    </row>
    <row r="461" spans="1:4">
      <c r="A461" s="6" t="s">
        <v>538</v>
      </c>
      <c r="B461" t="str">
        <f>VLOOKUP(A461,sales_dataset!I:J,2,0)</f>
        <v>Florida</v>
      </c>
      <c r="C461" t="str">
        <f>VLOOKUP(A461,sales_dataset!I:K,3,0)</f>
        <v>Orlando</v>
      </c>
      <c r="D461" t="str">
        <f>IFERROR(_xlfn.XLOOKUP(A461,sales_dataset!I:I,sales_dataset!G:G),"Not Found")</f>
        <v>COD</v>
      </c>
    </row>
    <row r="462" spans="1:4">
      <c r="A462" s="4" t="s">
        <v>134</v>
      </c>
      <c r="B462" t="str">
        <f>VLOOKUP(A462,sales_dataset!I:J,2,0)</f>
        <v>Ohio</v>
      </c>
      <c r="C462" t="str">
        <f>VLOOKUP(A462,sales_dataset!I:K,3,0)</f>
        <v>Cleveland</v>
      </c>
      <c r="D462" t="str">
        <f>IFERROR(_xlfn.XLOOKUP(A462,sales_dataset!I:I,sales_dataset!G:G),"Not Found")</f>
        <v>UPI</v>
      </c>
    </row>
    <row r="463" spans="1:4">
      <c r="A463" s="6" t="s">
        <v>135</v>
      </c>
      <c r="B463" t="str">
        <f>VLOOKUP(A463,sales_dataset!I:J,2,0)</f>
        <v>Florida</v>
      </c>
      <c r="C463" t="str">
        <f>VLOOKUP(A463,sales_dataset!I:K,3,0)</f>
        <v>Tampa</v>
      </c>
      <c r="D463" t="str">
        <f>IFERROR(_xlfn.XLOOKUP(A463,sales_dataset!I:I,sales_dataset!G:G),"Not Found")</f>
        <v>UPI</v>
      </c>
    </row>
    <row r="464" spans="1:4">
      <c r="A464" s="6" t="s">
        <v>1009</v>
      </c>
      <c r="B464" t="str">
        <f>VLOOKUP(A464,sales_dataset!I:J,2,0)</f>
        <v>Texas</v>
      </c>
      <c r="C464" t="str">
        <f>VLOOKUP(A464,sales_dataset!I:K,3,0)</f>
        <v>Dallas</v>
      </c>
      <c r="D464" t="str">
        <f>IFERROR(_xlfn.XLOOKUP(A464,sales_dataset!I:I,sales_dataset!G:G),"Not Found")</f>
        <v>Debit Card</v>
      </c>
    </row>
    <row r="465" spans="1:4">
      <c r="A465" s="4" t="s">
        <v>1012</v>
      </c>
      <c r="B465" t="str">
        <f>VLOOKUP(A465,sales_dataset!I:J,2,0)</f>
        <v>California</v>
      </c>
      <c r="C465" t="str">
        <f>VLOOKUP(A465,sales_dataset!I:K,3,0)</f>
        <v>Los Angeles</v>
      </c>
      <c r="D465" t="str">
        <f>IFERROR(_xlfn.XLOOKUP(A465,sales_dataset!I:I,sales_dataset!G:G),"Not Found")</f>
        <v>COD</v>
      </c>
    </row>
    <row r="466" spans="1:4">
      <c r="A466" s="4" t="s">
        <v>495</v>
      </c>
      <c r="B466" t="str">
        <f>VLOOKUP(A466,sales_dataset!I:J,2,0)</f>
        <v>Florida</v>
      </c>
      <c r="C466" t="str">
        <f>VLOOKUP(A466,sales_dataset!I:K,3,0)</f>
        <v>Orlando</v>
      </c>
      <c r="D466" t="str">
        <f>IFERROR(_xlfn.XLOOKUP(A466,sales_dataset!I:I,sales_dataset!G:G),"Not Found")</f>
        <v>COD</v>
      </c>
    </row>
    <row r="467" spans="1:4">
      <c r="A467" s="6" t="s">
        <v>496</v>
      </c>
      <c r="B467" t="str">
        <f>VLOOKUP(A467,sales_dataset!I:J,2,0)</f>
        <v>Texas</v>
      </c>
      <c r="C467" t="str">
        <f>VLOOKUP(A467,sales_dataset!I:K,3,0)</f>
        <v>Houston</v>
      </c>
      <c r="D467" t="str">
        <f>IFERROR(_xlfn.XLOOKUP(A467,sales_dataset!I:I,sales_dataset!G:G),"Not Found")</f>
        <v>COD</v>
      </c>
    </row>
    <row r="468" spans="1:4">
      <c r="A468" s="6" t="s">
        <v>1014</v>
      </c>
      <c r="B468" t="str">
        <f>VLOOKUP(A468,sales_dataset!I:J,2,0)</f>
        <v>New York</v>
      </c>
      <c r="C468" t="str">
        <f>VLOOKUP(A468,sales_dataset!I:K,3,0)</f>
        <v>New York City</v>
      </c>
      <c r="D468" t="str">
        <f>IFERROR(_xlfn.XLOOKUP(A468,sales_dataset!I:I,sales_dataset!G:G),"Not Found")</f>
        <v>EMI</v>
      </c>
    </row>
    <row r="469" spans="1:4">
      <c r="A469" s="6" t="s">
        <v>1016</v>
      </c>
      <c r="B469" t="str">
        <f>VLOOKUP(A469,sales_dataset!I:J,2,0)</f>
        <v>Ohio</v>
      </c>
      <c r="C469" t="str">
        <f>VLOOKUP(A469,sales_dataset!I:K,3,0)</f>
        <v>Cincinnati</v>
      </c>
      <c r="D469" t="str">
        <f>IFERROR(_xlfn.XLOOKUP(A469,sales_dataset!I:I,sales_dataset!G:G),"Not Found")</f>
        <v>Credit Card</v>
      </c>
    </row>
    <row r="470" spans="1:4">
      <c r="A470" s="4" t="s">
        <v>538</v>
      </c>
      <c r="B470" t="str">
        <f>VLOOKUP(A470,sales_dataset!I:J,2,0)</f>
        <v>Florida</v>
      </c>
      <c r="C470" t="str">
        <f>VLOOKUP(A470,sales_dataset!I:K,3,0)</f>
        <v>Orlando</v>
      </c>
      <c r="D470" t="str">
        <f>IFERROR(_xlfn.XLOOKUP(A470,sales_dataset!I:I,sales_dataset!G:G),"Not Found")</f>
        <v>COD</v>
      </c>
    </row>
    <row r="471" spans="1:4">
      <c r="A471" s="6" t="s">
        <v>1018</v>
      </c>
      <c r="B471" t="str">
        <f>VLOOKUP(A471,sales_dataset!I:J,2,0)</f>
        <v>New York</v>
      </c>
      <c r="C471" t="str">
        <f>VLOOKUP(A471,sales_dataset!I:K,3,0)</f>
        <v>Buffalo</v>
      </c>
      <c r="D471" t="str">
        <f>IFERROR(_xlfn.XLOOKUP(A471,sales_dataset!I:I,sales_dataset!G:G),"Not Found")</f>
        <v>EMI</v>
      </c>
    </row>
    <row r="472" spans="1:4">
      <c r="A472" s="4" t="s">
        <v>1019</v>
      </c>
      <c r="B472" t="str">
        <f>VLOOKUP(A472,sales_dataset!I:J,2,0)</f>
        <v>New York</v>
      </c>
      <c r="C472" t="str">
        <f>VLOOKUP(A472,sales_dataset!I:K,3,0)</f>
        <v>Rochester</v>
      </c>
      <c r="D472" t="str">
        <f>IFERROR(_xlfn.XLOOKUP(A472,sales_dataset!I:I,sales_dataset!G:G),"Not Found")</f>
        <v>EMI</v>
      </c>
    </row>
    <row r="473" spans="1:4">
      <c r="A473" s="4" t="s">
        <v>548</v>
      </c>
      <c r="B473" t="str">
        <f>VLOOKUP(A473,sales_dataset!I:J,2,0)</f>
        <v>California</v>
      </c>
      <c r="C473" t="str">
        <f>VLOOKUP(A473,sales_dataset!I:K,3,0)</f>
        <v>San Francisco</v>
      </c>
      <c r="D473" t="str">
        <f>IFERROR(_xlfn.XLOOKUP(A473,sales_dataset!I:I,sales_dataset!G:G),"Not Found")</f>
        <v>Debit Card</v>
      </c>
    </row>
    <row r="474" spans="1:4">
      <c r="A474" s="6" t="s">
        <v>549</v>
      </c>
      <c r="B474" t="str">
        <f>VLOOKUP(A474,sales_dataset!I:J,2,0)</f>
        <v>Ohio</v>
      </c>
      <c r="C474" t="str">
        <f>VLOOKUP(A474,sales_dataset!I:K,3,0)</f>
        <v>Columbus</v>
      </c>
      <c r="D474" t="str">
        <f>IFERROR(_xlfn.XLOOKUP(A474,sales_dataset!I:I,sales_dataset!G:G),"Not Found")</f>
        <v>Debit Card</v>
      </c>
    </row>
    <row r="475" spans="1:4">
      <c r="A475" s="4" t="s">
        <v>1022</v>
      </c>
      <c r="B475" t="str">
        <f>VLOOKUP(A475,sales_dataset!I:J,2,0)</f>
        <v>California</v>
      </c>
      <c r="C475" t="str">
        <f>VLOOKUP(A475,sales_dataset!I:K,3,0)</f>
        <v>San Francisco</v>
      </c>
      <c r="D475" t="str">
        <f>IFERROR(_xlfn.XLOOKUP(A475,sales_dataset!I:I,sales_dataset!G:G),"Not Found")</f>
        <v>Debit Card</v>
      </c>
    </row>
    <row r="476" spans="1:4">
      <c r="A476" s="6" t="s">
        <v>1023</v>
      </c>
      <c r="B476" t="str">
        <f>VLOOKUP(A476,sales_dataset!I:J,2,0)</f>
        <v>California</v>
      </c>
      <c r="C476" t="str">
        <f>VLOOKUP(A476,sales_dataset!I:K,3,0)</f>
        <v>San Diego</v>
      </c>
      <c r="D476" t="str">
        <f>IFERROR(_xlfn.XLOOKUP(A476,sales_dataset!I:I,sales_dataset!G:G),"Not Found")</f>
        <v>Debit Card</v>
      </c>
    </row>
    <row r="477" spans="1:4">
      <c r="A477" s="4" t="s">
        <v>1026</v>
      </c>
      <c r="B477" t="str">
        <f>VLOOKUP(A477,sales_dataset!I:J,2,0)</f>
        <v>Ohio</v>
      </c>
      <c r="C477" t="str">
        <f>VLOOKUP(A477,sales_dataset!I:K,3,0)</f>
        <v>Cincinnati</v>
      </c>
      <c r="D477" t="str">
        <f>IFERROR(_xlfn.XLOOKUP(A477,sales_dataset!I:I,sales_dataset!G:G),"Not Found")</f>
        <v>Debit Card</v>
      </c>
    </row>
    <row r="478" spans="1:4">
      <c r="A478" s="6" t="s">
        <v>1027</v>
      </c>
      <c r="B478" t="str">
        <f>VLOOKUP(A478,sales_dataset!I:J,2,0)</f>
        <v>Ohio</v>
      </c>
      <c r="C478" t="str">
        <f>VLOOKUP(A478,sales_dataset!I:K,3,0)</f>
        <v>Cleveland</v>
      </c>
      <c r="D478" t="str">
        <f>IFERROR(_xlfn.XLOOKUP(A478,sales_dataset!I:I,sales_dataset!G:G),"Not Found")</f>
        <v>Debit Card</v>
      </c>
    </row>
    <row r="479" spans="1:4">
      <c r="A479" s="4" t="s">
        <v>1028</v>
      </c>
      <c r="B479" t="str">
        <f>VLOOKUP(A479,sales_dataset!I:J,2,0)</f>
        <v>Illinois</v>
      </c>
      <c r="C479" t="str">
        <f>VLOOKUP(A479,sales_dataset!I:K,3,0)</f>
        <v>Chicago</v>
      </c>
      <c r="D479" t="str">
        <f>IFERROR(_xlfn.XLOOKUP(A479,sales_dataset!I:I,sales_dataset!G:G),"Not Found")</f>
        <v>Debit Card</v>
      </c>
    </row>
    <row r="480" spans="1:4">
      <c r="A480" s="6" t="s">
        <v>1030</v>
      </c>
      <c r="B480" t="str">
        <f>VLOOKUP(A480,sales_dataset!I:J,2,0)</f>
        <v>New York</v>
      </c>
      <c r="C480" t="str">
        <f>VLOOKUP(A480,sales_dataset!I:K,3,0)</f>
        <v>Buffalo</v>
      </c>
      <c r="D480" t="str">
        <f>IFERROR(_xlfn.XLOOKUP(A480,sales_dataset!I:I,sales_dataset!G:G),"Not Found")</f>
        <v>COD</v>
      </c>
    </row>
    <row r="481" spans="1:4">
      <c r="A481" s="6" t="s">
        <v>1032</v>
      </c>
      <c r="B481" t="str">
        <f>VLOOKUP(A481,sales_dataset!I:J,2,0)</f>
        <v>New York</v>
      </c>
      <c r="C481" t="str">
        <f>VLOOKUP(A481,sales_dataset!I:K,3,0)</f>
        <v>New York City</v>
      </c>
      <c r="D481" t="str">
        <f>IFERROR(_xlfn.XLOOKUP(A481,sales_dataset!I:I,sales_dataset!G:G),"Not Found")</f>
        <v>COD</v>
      </c>
    </row>
    <row r="482" spans="1:4">
      <c r="A482" s="6" t="s">
        <v>1034</v>
      </c>
      <c r="B482" t="str">
        <f>VLOOKUP(A482,sales_dataset!I:J,2,0)</f>
        <v>Ohio</v>
      </c>
      <c r="C482" t="str">
        <f>VLOOKUP(A482,sales_dataset!I:K,3,0)</f>
        <v>Cleveland</v>
      </c>
      <c r="D482" t="str">
        <f>IFERROR(_xlfn.XLOOKUP(A482,sales_dataset!I:I,sales_dataset!G:G),"Not Found")</f>
        <v>EMI</v>
      </c>
    </row>
    <row r="483" spans="1:4">
      <c r="A483" s="4" t="s">
        <v>1036</v>
      </c>
      <c r="B483" t="str">
        <f>VLOOKUP(A483,sales_dataset!I:J,2,0)</f>
        <v>California</v>
      </c>
      <c r="C483" t="str">
        <f>VLOOKUP(A483,sales_dataset!I:K,3,0)</f>
        <v>San Diego</v>
      </c>
      <c r="D483" t="str">
        <f>IFERROR(_xlfn.XLOOKUP(A483,sales_dataset!I:I,sales_dataset!G:G),"Not Found")</f>
        <v>EMI</v>
      </c>
    </row>
    <row r="484" spans="1:4">
      <c r="A484" s="6" t="s">
        <v>333</v>
      </c>
      <c r="B484" t="str">
        <f>VLOOKUP(A484,sales_dataset!I:J,2,0)</f>
        <v>Florida</v>
      </c>
      <c r="C484" t="str">
        <f>VLOOKUP(A484,sales_dataset!I:K,3,0)</f>
        <v>Orlando</v>
      </c>
      <c r="D484" t="str">
        <f>IFERROR(_xlfn.XLOOKUP(A484,sales_dataset!I:I,sales_dataset!G:G),"Not Found")</f>
        <v>COD</v>
      </c>
    </row>
    <row r="485" spans="1:4">
      <c r="A485" s="4" t="s">
        <v>405</v>
      </c>
      <c r="B485" t="str">
        <f>VLOOKUP(A485,sales_dataset!I:J,2,0)</f>
        <v>Texas</v>
      </c>
      <c r="C485" t="str">
        <f>VLOOKUP(A485,sales_dataset!I:K,3,0)</f>
        <v>Houston</v>
      </c>
      <c r="D485" t="str">
        <f>IFERROR(_xlfn.XLOOKUP(A485,sales_dataset!I:I,sales_dataset!G:G),"Not Found")</f>
        <v>Credit Card</v>
      </c>
    </row>
    <row r="486" spans="1:4">
      <c r="A486" s="4" t="s">
        <v>846</v>
      </c>
      <c r="B486" t="str">
        <f>VLOOKUP(A486,sales_dataset!I:J,2,0)</f>
        <v>Ohio</v>
      </c>
      <c r="C486" t="str">
        <f>VLOOKUP(A486,sales_dataset!I:K,3,0)</f>
        <v>Cincinnati</v>
      </c>
      <c r="D486" t="str">
        <f>IFERROR(_xlfn.XLOOKUP(A486,sales_dataset!I:I,sales_dataset!G:G),"Not Found")</f>
        <v>COD</v>
      </c>
    </row>
    <row r="487" spans="1:4">
      <c r="A487" s="4" t="s">
        <v>1038</v>
      </c>
      <c r="B487" t="str">
        <f>VLOOKUP(A487,sales_dataset!I:J,2,0)</f>
        <v>Illinois</v>
      </c>
      <c r="C487" t="str">
        <f>VLOOKUP(A487,sales_dataset!I:K,3,0)</f>
        <v>Peoria</v>
      </c>
      <c r="D487" t="str">
        <f>IFERROR(_xlfn.XLOOKUP(A487,sales_dataset!I:I,sales_dataset!G:G),"Not Found")</f>
        <v>Debit Card</v>
      </c>
    </row>
    <row r="488" spans="1:4">
      <c r="A488" s="4" t="s">
        <v>278</v>
      </c>
      <c r="B488" t="str">
        <f>VLOOKUP(A488,sales_dataset!I:J,2,0)</f>
        <v>Texas</v>
      </c>
      <c r="C488" t="str">
        <f>VLOOKUP(A488,sales_dataset!I:K,3,0)</f>
        <v>Dallas</v>
      </c>
      <c r="D488" t="str">
        <f>IFERROR(_xlfn.XLOOKUP(A488,sales_dataset!I:I,sales_dataset!G:G),"Not Found")</f>
        <v>Credit Card</v>
      </c>
    </row>
    <row r="489" spans="1:4">
      <c r="A489" s="6" t="s">
        <v>592</v>
      </c>
      <c r="B489" t="str">
        <f>VLOOKUP(A489,sales_dataset!I:J,2,0)</f>
        <v>Illinois</v>
      </c>
      <c r="C489" t="str">
        <f>VLOOKUP(A489,sales_dataset!I:K,3,0)</f>
        <v>Chicago</v>
      </c>
      <c r="D489" t="str">
        <f>IFERROR(_xlfn.XLOOKUP(A489,sales_dataset!I:I,sales_dataset!G:G),"Not Found")</f>
        <v>Credit Card</v>
      </c>
    </row>
    <row r="490" spans="1:4">
      <c r="A490" s="4" t="s">
        <v>593</v>
      </c>
      <c r="B490" t="str">
        <f>VLOOKUP(A490,sales_dataset!I:J,2,0)</f>
        <v>Texas</v>
      </c>
      <c r="C490" t="str">
        <f>VLOOKUP(A490,sales_dataset!I:K,3,0)</f>
        <v>Austin</v>
      </c>
      <c r="D490" t="str">
        <f>IFERROR(_xlfn.XLOOKUP(A490,sales_dataset!I:I,sales_dataset!G:G),"Not Found")</f>
        <v>Credit Card</v>
      </c>
    </row>
    <row r="491" spans="1:4">
      <c r="A491" s="6" t="s">
        <v>1043</v>
      </c>
      <c r="B491" t="str">
        <f>VLOOKUP(A491,sales_dataset!I:J,2,0)</f>
        <v>Florida</v>
      </c>
      <c r="C491" t="str">
        <f>VLOOKUP(A491,sales_dataset!I:K,3,0)</f>
        <v>Miami</v>
      </c>
      <c r="D491" t="str">
        <f>IFERROR(_xlfn.XLOOKUP(A491,sales_dataset!I:I,sales_dataset!G:G),"Not Found")</f>
        <v>Credit Card</v>
      </c>
    </row>
    <row r="492" spans="1:4">
      <c r="A492" s="6" t="s">
        <v>1045</v>
      </c>
      <c r="B492" t="str">
        <f>VLOOKUP(A492,sales_dataset!I:J,2,0)</f>
        <v>California</v>
      </c>
      <c r="C492" t="str">
        <f>VLOOKUP(A492,sales_dataset!I:K,3,0)</f>
        <v>San Francisco</v>
      </c>
      <c r="D492" t="str">
        <f>IFERROR(_xlfn.XLOOKUP(A492,sales_dataset!I:I,sales_dataset!G:G),"Not Found")</f>
        <v>EMI</v>
      </c>
    </row>
    <row r="493" spans="1:4">
      <c r="A493" s="4" t="s">
        <v>1046</v>
      </c>
      <c r="B493" t="str">
        <f>VLOOKUP(A493,sales_dataset!I:J,2,0)</f>
        <v>California</v>
      </c>
      <c r="C493" t="str">
        <f>VLOOKUP(A493,sales_dataset!I:K,3,0)</f>
        <v>Los Angeles</v>
      </c>
      <c r="D493" t="str">
        <f>IFERROR(_xlfn.XLOOKUP(A493,sales_dataset!I:I,sales_dataset!G:G),"Not Found")</f>
        <v>EMI</v>
      </c>
    </row>
    <row r="494" spans="1:4">
      <c r="A494" s="6" t="s">
        <v>1047</v>
      </c>
      <c r="B494" t="str">
        <f>VLOOKUP(A494,sales_dataset!I:J,2,0)</f>
        <v>New York</v>
      </c>
      <c r="C494" t="str">
        <f>VLOOKUP(A494,sales_dataset!I:K,3,0)</f>
        <v>New York City</v>
      </c>
      <c r="D494" t="str">
        <f>IFERROR(_xlfn.XLOOKUP(A494,sales_dataset!I:I,sales_dataset!G:G),"Not Found")</f>
        <v>EMI</v>
      </c>
    </row>
    <row r="495" spans="1:4">
      <c r="A495" s="4" t="s">
        <v>1050</v>
      </c>
      <c r="B495" t="str">
        <f>VLOOKUP(A495,sales_dataset!I:J,2,0)</f>
        <v>Ohio</v>
      </c>
      <c r="C495" t="str">
        <f>VLOOKUP(A495,sales_dataset!I:K,3,0)</f>
        <v>Cincinnati</v>
      </c>
      <c r="D495" t="str">
        <f>IFERROR(_xlfn.XLOOKUP(A495,sales_dataset!I:I,sales_dataset!G:G),"Not Found")</f>
        <v>COD</v>
      </c>
    </row>
    <row r="496" spans="1:4">
      <c r="A496" s="4" t="s">
        <v>1053</v>
      </c>
      <c r="B496" t="str">
        <f>VLOOKUP(A496,sales_dataset!I:J,2,0)</f>
        <v>New York</v>
      </c>
      <c r="C496" t="str">
        <f>VLOOKUP(A496,sales_dataset!I:K,3,0)</f>
        <v>New York City</v>
      </c>
      <c r="D496" t="str">
        <f>IFERROR(_xlfn.XLOOKUP(A496,sales_dataset!I:I,sales_dataset!G:G),"Not Found")</f>
        <v>Credit Card</v>
      </c>
    </row>
    <row r="497" spans="1:4">
      <c r="A497" s="6" t="s">
        <v>1055</v>
      </c>
      <c r="B497" t="str">
        <f>VLOOKUP(A497,sales_dataset!I:J,2,0)</f>
        <v>Texas</v>
      </c>
      <c r="C497" t="str">
        <f>VLOOKUP(A497,sales_dataset!I:K,3,0)</f>
        <v>Dallas</v>
      </c>
      <c r="D497" t="str">
        <f>IFERROR(_xlfn.XLOOKUP(A497,sales_dataset!I:I,sales_dataset!G:G),"Not Found")</f>
        <v>Credit Card</v>
      </c>
    </row>
    <row r="498" spans="1:4">
      <c r="A498" s="6" t="s">
        <v>1057</v>
      </c>
      <c r="B498" t="str">
        <f>VLOOKUP(A498,sales_dataset!I:J,2,0)</f>
        <v>Texas</v>
      </c>
      <c r="C498" t="str">
        <f>VLOOKUP(A498,sales_dataset!I:K,3,0)</f>
        <v>Dallas</v>
      </c>
      <c r="D498" t="str">
        <f>IFERROR(_xlfn.XLOOKUP(A498,sales_dataset!I:I,sales_dataset!G:G),"Not Found")</f>
        <v>Debit Card</v>
      </c>
    </row>
    <row r="499" spans="1:4">
      <c r="A499" s="4" t="s">
        <v>1059</v>
      </c>
      <c r="B499" t="str">
        <f>VLOOKUP(A499,sales_dataset!I:J,2,0)</f>
        <v>Ohio</v>
      </c>
      <c r="C499" t="str">
        <f>VLOOKUP(A499,sales_dataset!I:K,3,0)</f>
        <v>Columbus</v>
      </c>
      <c r="D499" t="str">
        <f>IFERROR(_xlfn.XLOOKUP(A499,sales_dataset!I:I,sales_dataset!G:G),"Not Found")</f>
        <v>Debit Card</v>
      </c>
    </row>
    <row r="500" spans="1:4">
      <c r="A500" s="6" t="s">
        <v>1062</v>
      </c>
      <c r="B500" t="str">
        <f>VLOOKUP(A500,sales_dataset!I:J,2,0)</f>
        <v>Texas</v>
      </c>
      <c r="C500" t="str">
        <f>VLOOKUP(A500,sales_dataset!I:K,3,0)</f>
        <v>Austin</v>
      </c>
      <c r="D500" t="str">
        <f>IFERROR(_xlfn.XLOOKUP(A500,sales_dataset!I:I,sales_dataset!G:G),"Not Found")</f>
        <v>EMI</v>
      </c>
    </row>
    <row r="501" spans="1:4">
      <c r="A501" s="4" t="s">
        <v>1064</v>
      </c>
      <c r="B501" t="str">
        <f>VLOOKUP(A501,sales_dataset!I:J,2,0)</f>
        <v>Illinois</v>
      </c>
      <c r="C501" t="str">
        <f>VLOOKUP(A501,sales_dataset!I:K,3,0)</f>
        <v>Peoria</v>
      </c>
      <c r="D501" t="str">
        <f>IFERROR(_xlfn.XLOOKUP(A501,sales_dataset!I:I,sales_dataset!G:G),"Not Found")</f>
        <v>EMI</v>
      </c>
    </row>
    <row r="502" spans="1:4">
      <c r="A502" s="4" t="s">
        <v>955</v>
      </c>
      <c r="B502" t="str">
        <f>VLOOKUP(A502,sales_dataset!I:J,2,0)</f>
        <v>Florida</v>
      </c>
      <c r="C502" t="str">
        <f>VLOOKUP(A502,sales_dataset!I:K,3,0)</f>
        <v>Orlando</v>
      </c>
      <c r="D502" t="str">
        <f>IFERROR(_xlfn.XLOOKUP(A502,sales_dataset!I:I,sales_dataset!G:G),"Not Found")</f>
        <v>Debit Card</v>
      </c>
    </row>
    <row r="503" spans="1:4">
      <c r="A503" s="6" t="s">
        <v>956</v>
      </c>
      <c r="B503" t="str">
        <f>VLOOKUP(A503,sales_dataset!I:J,2,0)</f>
        <v>Florida</v>
      </c>
      <c r="C503" t="str">
        <f>VLOOKUP(A503,sales_dataset!I:K,3,0)</f>
        <v>Orlando</v>
      </c>
      <c r="D503" t="str">
        <f>IFERROR(_xlfn.XLOOKUP(A503,sales_dataset!I:I,sales_dataset!G:G),"Not Found")</f>
        <v>Debit Card</v>
      </c>
    </row>
    <row r="504" spans="1:4">
      <c r="A504" s="4" t="s">
        <v>1067</v>
      </c>
      <c r="B504" t="str">
        <f>VLOOKUP(A504,sales_dataset!I:J,2,0)</f>
        <v>California</v>
      </c>
      <c r="C504" t="str">
        <f>VLOOKUP(A504,sales_dataset!I:K,3,0)</f>
        <v>San Diego</v>
      </c>
      <c r="D504" t="str">
        <f>IFERROR(_xlfn.XLOOKUP(A504,sales_dataset!I:I,sales_dataset!G:G),"Not Found")</f>
        <v>EMI</v>
      </c>
    </row>
    <row r="505" spans="1:4">
      <c r="A505" s="6" t="s">
        <v>1069</v>
      </c>
      <c r="B505" t="str">
        <f>VLOOKUP(A505,sales_dataset!I:J,2,0)</f>
        <v>California</v>
      </c>
      <c r="C505" t="str">
        <f>VLOOKUP(A505,sales_dataset!I:K,3,0)</f>
        <v>San Francisco</v>
      </c>
      <c r="D505" t="str">
        <f>IFERROR(_xlfn.XLOOKUP(A505,sales_dataset!I:I,sales_dataset!G:G),"Not Found")</f>
        <v>EMI</v>
      </c>
    </row>
    <row r="506" spans="1:4">
      <c r="A506" s="6" t="s">
        <v>1072</v>
      </c>
      <c r="B506" t="str">
        <f>VLOOKUP(A506,sales_dataset!I:J,2,0)</f>
        <v>Texas</v>
      </c>
      <c r="C506" t="str">
        <f>VLOOKUP(A506,sales_dataset!I:K,3,0)</f>
        <v>Dallas</v>
      </c>
      <c r="D506" t="str">
        <f>IFERROR(_xlfn.XLOOKUP(A506,sales_dataset!I:I,sales_dataset!G:G),"Not Found")</f>
        <v>UPI</v>
      </c>
    </row>
    <row r="507" spans="1:4">
      <c r="A507" s="4" t="s">
        <v>1075</v>
      </c>
      <c r="B507" t="str">
        <f>VLOOKUP(A507,sales_dataset!I:J,2,0)</f>
        <v>New York</v>
      </c>
      <c r="C507" t="str">
        <f>VLOOKUP(A507,sales_dataset!I:K,3,0)</f>
        <v>Buffalo</v>
      </c>
      <c r="D507" t="str">
        <f>IFERROR(_xlfn.XLOOKUP(A507,sales_dataset!I:I,sales_dataset!G:G),"Not Found")</f>
        <v>EMI</v>
      </c>
    </row>
    <row r="508" spans="1:4">
      <c r="A508" s="6" t="s">
        <v>592</v>
      </c>
      <c r="B508" t="str">
        <f>VLOOKUP(A508,sales_dataset!I:J,2,0)</f>
        <v>Illinois</v>
      </c>
      <c r="C508" t="str">
        <f>VLOOKUP(A508,sales_dataset!I:K,3,0)</f>
        <v>Chicago</v>
      </c>
      <c r="D508" t="str">
        <f>IFERROR(_xlfn.XLOOKUP(A508,sales_dataset!I:I,sales_dataset!G:G),"Not Found")</f>
        <v>Credit Card</v>
      </c>
    </row>
    <row r="509" spans="1:4">
      <c r="A509" s="4" t="s">
        <v>593</v>
      </c>
      <c r="B509" t="str">
        <f>VLOOKUP(A509,sales_dataset!I:J,2,0)</f>
        <v>Texas</v>
      </c>
      <c r="C509" t="str">
        <f>VLOOKUP(A509,sales_dataset!I:K,3,0)</f>
        <v>Austin</v>
      </c>
      <c r="D509" t="str">
        <f>IFERROR(_xlfn.XLOOKUP(A509,sales_dataset!I:I,sales_dataset!G:G),"Not Found")</f>
        <v>Credit Card</v>
      </c>
    </row>
    <row r="510" spans="1:4">
      <c r="A510" s="6" t="s">
        <v>789</v>
      </c>
      <c r="B510" t="str">
        <f>VLOOKUP(A510,sales_dataset!I:J,2,0)</f>
        <v>Florida</v>
      </c>
      <c r="C510" t="str">
        <f>VLOOKUP(A510,sales_dataset!I:K,3,0)</f>
        <v>Miami</v>
      </c>
      <c r="D510" t="str">
        <f>IFERROR(_xlfn.XLOOKUP(A510,sales_dataset!I:I,sales_dataset!G:G),"Not Found")</f>
        <v>Debit Card</v>
      </c>
    </row>
    <row r="511" spans="1:4">
      <c r="A511" s="4" t="s">
        <v>1078</v>
      </c>
      <c r="B511" t="str">
        <f>VLOOKUP(A511,sales_dataset!I:J,2,0)</f>
        <v>California</v>
      </c>
      <c r="C511" t="str">
        <f>VLOOKUP(A511,sales_dataset!I:K,3,0)</f>
        <v>San Francisco</v>
      </c>
      <c r="D511" t="str">
        <f>IFERROR(_xlfn.XLOOKUP(A511,sales_dataset!I:I,sales_dataset!G:G),"Not Found")</f>
        <v>Debit Card</v>
      </c>
    </row>
    <row r="512" spans="1:4">
      <c r="A512" s="6" t="s">
        <v>1079</v>
      </c>
      <c r="B512" t="str">
        <f>VLOOKUP(A512,sales_dataset!I:J,2,0)</f>
        <v>California</v>
      </c>
      <c r="C512" t="str">
        <f>VLOOKUP(A512,sales_dataset!I:K,3,0)</f>
        <v>San Diego</v>
      </c>
      <c r="D512" t="str">
        <f>IFERROR(_xlfn.XLOOKUP(A512,sales_dataset!I:I,sales_dataset!G:G),"Not Found")</f>
        <v>Debit Card</v>
      </c>
    </row>
    <row r="513" spans="1:4">
      <c r="A513" s="4" t="s">
        <v>1080</v>
      </c>
      <c r="B513" t="str">
        <f>VLOOKUP(A513,sales_dataset!I:J,2,0)</f>
        <v>Florida</v>
      </c>
      <c r="C513" t="str">
        <f>VLOOKUP(A513,sales_dataset!I:K,3,0)</f>
        <v>Miami</v>
      </c>
      <c r="D513" t="str">
        <f>IFERROR(_xlfn.XLOOKUP(A513,sales_dataset!I:I,sales_dataset!G:G),"Not Found")</f>
        <v>Debit Card</v>
      </c>
    </row>
    <row r="514" spans="1:4">
      <c r="A514" s="6" t="s">
        <v>1083</v>
      </c>
      <c r="B514" t="str">
        <f>VLOOKUP(A514,sales_dataset!I:J,2,0)</f>
        <v>New York</v>
      </c>
      <c r="C514" t="str">
        <f>VLOOKUP(A514,sales_dataset!I:K,3,0)</f>
        <v>Buffalo</v>
      </c>
      <c r="D514" t="str">
        <f>IFERROR(_xlfn.XLOOKUP(A514,sales_dataset!I:I,sales_dataset!G:G),"Not Found")</f>
        <v>UPI</v>
      </c>
    </row>
    <row r="515" spans="1:4">
      <c r="A515" s="4" t="s">
        <v>1085</v>
      </c>
      <c r="B515" t="str">
        <f>VLOOKUP(A515,sales_dataset!I:J,2,0)</f>
        <v>Florida</v>
      </c>
      <c r="C515" t="str">
        <f>VLOOKUP(A515,sales_dataset!I:K,3,0)</f>
        <v>Tampa</v>
      </c>
      <c r="D515" t="str">
        <f>IFERROR(_xlfn.XLOOKUP(A515,sales_dataset!I:I,sales_dataset!G:G),"Not Found")</f>
        <v>COD</v>
      </c>
    </row>
    <row r="516" spans="1:4">
      <c r="A516" s="4" t="s">
        <v>1088</v>
      </c>
      <c r="B516" t="str">
        <f>VLOOKUP(A516,sales_dataset!I:J,2,0)</f>
        <v>Illinois</v>
      </c>
      <c r="C516" t="str">
        <f>VLOOKUP(A516,sales_dataset!I:K,3,0)</f>
        <v>Chicago</v>
      </c>
      <c r="D516" t="str">
        <f>IFERROR(_xlfn.XLOOKUP(A516,sales_dataset!I:I,sales_dataset!G:G),"Not Found")</f>
        <v>Credit Card</v>
      </c>
    </row>
    <row r="517" spans="1:4">
      <c r="A517" s="6" t="s">
        <v>353</v>
      </c>
      <c r="B517" t="str">
        <f>VLOOKUP(A517,sales_dataset!I:J,2,0)</f>
        <v>Texas</v>
      </c>
      <c r="C517" t="str">
        <f>VLOOKUP(A517,sales_dataset!I:K,3,0)</f>
        <v>Austin</v>
      </c>
      <c r="D517" t="str">
        <f>IFERROR(_xlfn.XLOOKUP(A517,sales_dataset!I:I,sales_dataset!G:G),"Not Found")</f>
        <v>Debit Card</v>
      </c>
    </row>
    <row r="518" spans="1:4">
      <c r="A518" s="4" t="s">
        <v>354</v>
      </c>
      <c r="B518" t="str">
        <f>VLOOKUP(A518,sales_dataset!I:J,2,0)</f>
        <v>California</v>
      </c>
      <c r="C518" t="str">
        <f>VLOOKUP(A518,sales_dataset!I:K,3,0)</f>
        <v>San Diego</v>
      </c>
      <c r="D518" t="str">
        <f>IFERROR(_xlfn.XLOOKUP(A518,sales_dataset!I:I,sales_dataset!G:G),"Not Found")</f>
        <v>Debit Card</v>
      </c>
    </row>
    <row r="519" spans="1:4">
      <c r="A519" s="6" t="s">
        <v>1091</v>
      </c>
      <c r="B519" t="str">
        <f>VLOOKUP(A519,sales_dataset!I:J,2,0)</f>
        <v>New York</v>
      </c>
      <c r="C519" t="str">
        <f>VLOOKUP(A519,sales_dataset!I:K,3,0)</f>
        <v>New York City</v>
      </c>
      <c r="D519" t="str">
        <f>IFERROR(_xlfn.XLOOKUP(A519,sales_dataset!I:I,sales_dataset!G:G),"Not Found")</f>
        <v>EMI</v>
      </c>
    </row>
    <row r="520" spans="1:4">
      <c r="A520" s="4" t="s">
        <v>1092</v>
      </c>
      <c r="B520" t="str">
        <f>VLOOKUP(A520,sales_dataset!I:J,2,0)</f>
        <v>Illinois</v>
      </c>
      <c r="C520" t="str">
        <f>VLOOKUP(A520,sales_dataset!I:K,3,0)</f>
        <v>Springfield</v>
      </c>
      <c r="D520" t="str">
        <f>IFERROR(_xlfn.XLOOKUP(A520,sales_dataset!I:I,sales_dataset!G:G),"Not Found")</f>
        <v>EMI</v>
      </c>
    </row>
    <row r="521" spans="1:4">
      <c r="A521" s="4" t="s">
        <v>1095</v>
      </c>
      <c r="B521" t="str">
        <f>VLOOKUP(A521,sales_dataset!I:J,2,0)</f>
        <v>Texas</v>
      </c>
      <c r="C521" t="str">
        <f>VLOOKUP(A521,sales_dataset!I:K,3,0)</f>
        <v>Austin</v>
      </c>
      <c r="D521" t="str">
        <f>IFERROR(_xlfn.XLOOKUP(A521,sales_dataset!I:I,sales_dataset!G:G),"Not Found")</f>
        <v>UPI</v>
      </c>
    </row>
    <row r="522" spans="1:4">
      <c r="A522" s="6" t="s">
        <v>1097</v>
      </c>
      <c r="B522" t="str">
        <f>VLOOKUP(A522,sales_dataset!I:J,2,0)</f>
        <v>Florida</v>
      </c>
      <c r="C522" t="str">
        <f>VLOOKUP(A522,sales_dataset!I:K,3,0)</f>
        <v>Tampa</v>
      </c>
      <c r="D522" t="str">
        <f>IFERROR(_xlfn.XLOOKUP(A522,sales_dataset!I:I,sales_dataset!G:G),"Not Found")</f>
        <v>Credit Card</v>
      </c>
    </row>
    <row r="523" spans="1:4">
      <c r="A523" s="4" t="s">
        <v>930</v>
      </c>
      <c r="B523" t="str">
        <f>VLOOKUP(A523,sales_dataset!I:J,2,0)</f>
        <v>California</v>
      </c>
      <c r="C523" t="str">
        <f>VLOOKUP(A523,sales_dataset!I:K,3,0)</f>
        <v>San Diego</v>
      </c>
      <c r="D523" t="str">
        <f>IFERROR(_xlfn.XLOOKUP(A523,sales_dataset!I:I,sales_dataset!G:G),"Not Found")</f>
        <v>Debit Card</v>
      </c>
    </row>
    <row r="524" spans="1:4">
      <c r="A524" s="6" t="s">
        <v>1099</v>
      </c>
      <c r="B524" t="str">
        <f>VLOOKUP(A524,sales_dataset!I:J,2,0)</f>
        <v>California</v>
      </c>
      <c r="C524" t="str">
        <f>VLOOKUP(A524,sales_dataset!I:K,3,0)</f>
        <v>Los Angeles</v>
      </c>
      <c r="D524" t="str">
        <f>IFERROR(_xlfn.XLOOKUP(A524,sales_dataset!I:I,sales_dataset!G:G),"Not Found")</f>
        <v>Credit Card</v>
      </c>
    </row>
    <row r="525" spans="1:4">
      <c r="A525" s="4" t="s">
        <v>1100</v>
      </c>
      <c r="B525" t="str">
        <f>VLOOKUP(A525,sales_dataset!I:J,2,0)</f>
        <v>Florida</v>
      </c>
      <c r="C525" t="str">
        <f>VLOOKUP(A525,sales_dataset!I:K,3,0)</f>
        <v>Miami</v>
      </c>
      <c r="D525" t="str">
        <f>IFERROR(_xlfn.XLOOKUP(A525,sales_dataset!I:I,sales_dataset!G:G),"Not Found")</f>
        <v>Credit Card</v>
      </c>
    </row>
    <row r="526" spans="1:4">
      <c r="A526" s="6" t="s">
        <v>1101</v>
      </c>
      <c r="B526" t="str">
        <f>VLOOKUP(A526,sales_dataset!I:J,2,0)</f>
        <v>Ohio</v>
      </c>
      <c r="C526" t="str">
        <f>VLOOKUP(A526,sales_dataset!I:K,3,0)</f>
        <v>Cleveland</v>
      </c>
      <c r="D526" t="str">
        <f>IFERROR(_xlfn.XLOOKUP(A526,sales_dataset!I:I,sales_dataset!G:G),"Not Found")</f>
        <v>Credit Card</v>
      </c>
    </row>
    <row r="527" spans="1:4">
      <c r="A527" s="4" t="s">
        <v>688</v>
      </c>
      <c r="B527" t="str">
        <f>VLOOKUP(A527,sales_dataset!I:J,2,0)</f>
        <v>California</v>
      </c>
      <c r="C527" t="str">
        <f>VLOOKUP(A527,sales_dataset!I:K,3,0)</f>
        <v>San Francisco</v>
      </c>
      <c r="D527" t="str">
        <f>IFERROR(_xlfn.XLOOKUP(A527,sales_dataset!I:I,sales_dataset!G:G),"Not Found")</f>
        <v>UPI</v>
      </c>
    </row>
    <row r="528" spans="1:4">
      <c r="A528" s="4" t="s">
        <v>1103</v>
      </c>
      <c r="B528" t="str">
        <f>VLOOKUP(A528,sales_dataset!I:J,2,0)</f>
        <v>Florida</v>
      </c>
      <c r="C528" t="str">
        <f>VLOOKUP(A528,sales_dataset!I:K,3,0)</f>
        <v>Miami</v>
      </c>
      <c r="D528" t="str">
        <f>IFERROR(_xlfn.XLOOKUP(A528,sales_dataset!I:I,sales_dataset!G:G),"Not Found")</f>
        <v>COD</v>
      </c>
    </row>
    <row r="529" spans="1:4">
      <c r="A529" s="6" t="s">
        <v>1104</v>
      </c>
      <c r="B529" t="str">
        <f>VLOOKUP(A529,sales_dataset!I:J,2,0)</f>
        <v>Ohio</v>
      </c>
      <c r="C529" t="str">
        <f>VLOOKUP(A529,sales_dataset!I:K,3,0)</f>
        <v>Columbus</v>
      </c>
      <c r="D529" t="str">
        <f>IFERROR(_xlfn.XLOOKUP(A529,sales_dataset!I:I,sales_dataset!G:G),"Not Found")</f>
        <v>COD</v>
      </c>
    </row>
    <row r="530" spans="1:4">
      <c r="A530" s="4" t="s">
        <v>1107</v>
      </c>
      <c r="B530" t="str">
        <f>VLOOKUP(A530,sales_dataset!I:J,2,0)</f>
        <v>Illinois</v>
      </c>
      <c r="C530" t="str">
        <f>VLOOKUP(A530,sales_dataset!I:K,3,0)</f>
        <v>Chicago</v>
      </c>
      <c r="D530" t="str">
        <f>IFERROR(_xlfn.XLOOKUP(A530,sales_dataset!I:I,sales_dataset!G:G),"Not Found")</f>
        <v>COD</v>
      </c>
    </row>
    <row r="531" spans="1:4">
      <c r="A531" s="6" t="s">
        <v>1108</v>
      </c>
      <c r="B531" t="str">
        <f>VLOOKUP(A531,sales_dataset!I:J,2,0)</f>
        <v>Texas</v>
      </c>
      <c r="C531" t="str">
        <f>VLOOKUP(A531,sales_dataset!I:K,3,0)</f>
        <v>Houston</v>
      </c>
      <c r="D531" t="str">
        <f>IFERROR(_xlfn.XLOOKUP(A531,sales_dataset!I:I,sales_dataset!G:G),"Not Found")</f>
        <v>COD</v>
      </c>
    </row>
    <row r="532" spans="1:4">
      <c r="A532" s="4" t="s">
        <v>1110</v>
      </c>
      <c r="B532" t="str">
        <f>VLOOKUP(A532,sales_dataset!I:J,2,0)</f>
        <v>Florida</v>
      </c>
      <c r="C532" t="str">
        <f>VLOOKUP(A532,sales_dataset!I:K,3,0)</f>
        <v>Miami</v>
      </c>
      <c r="D532" t="str">
        <f>IFERROR(_xlfn.XLOOKUP(A532,sales_dataset!I:I,sales_dataset!G:G),"Not Found")</f>
        <v>COD</v>
      </c>
    </row>
    <row r="533" spans="1:4">
      <c r="A533" s="6" t="s">
        <v>1113</v>
      </c>
      <c r="B533" t="str">
        <f>VLOOKUP(A533,sales_dataset!I:J,2,0)</f>
        <v>Ohio</v>
      </c>
      <c r="C533" t="str">
        <f>VLOOKUP(A533,sales_dataset!I:K,3,0)</f>
        <v>Cleveland</v>
      </c>
      <c r="D533" t="str">
        <f>IFERROR(_xlfn.XLOOKUP(A533,sales_dataset!I:I,sales_dataset!G:G),"Not Found")</f>
        <v>EMI</v>
      </c>
    </row>
    <row r="534" spans="1:4">
      <c r="A534" s="4" t="s">
        <v>1116</v>
      </c>
      <c r="B534" t="str">
        <f>VLOOKUP(A534,sales_dataset!I:J,2,0)</f>
        <v>Texas</v>
      </c>
      <c r="C534" t="str">
        <f>VLOOKUP(A534,sales_dataset!I:K,3,0)</f>
        <v>Houston</v>
      </c>
      <c r="D534" t="str">
        <f>IFERROR(_xlfn.XLOOKUP(A534,sales_dataset!I:I,sales_dataset!G:G),"Not Found")</f>
        <v>UPI</v>
      </c>
    </row>
    <row r="535" spans="1:4">
      <c r="A535" s="6" t="s">
        <v>139</v>
      </c>
      <c r="B535" t="str">
        <f>VLOOKUP(A535,sales_dataset!I:J,2,0)</f>
        <v>New York</v>
      </c>
      <c r="C535" t="str">
        <f>VLOOKUP(A535,sales_dataset!I:K,3,0)</f>
        <v>Buffalo</v>
      </c>
      <c r="D535" t="str">
        <f>IFERROR(_xlfn.XLOOKUP(A535,sales_dataset!I:I,sales_dataset!G:G),"Not Found")</f>
        <v>Credit Card</v>
      </c>
    </row>
    <row r="536" spans="1:4">
      <c r="A536" s="4" t="s">
        <v>140</v>
      </c>
      <c r="B536" t="str">
        <f>VLOOKUP(A536,sales_dataset!I:J,2,0)</f>
        <v>New York</v>
      </c>
      <c r="C536" t="str">
        <f>VLOOKUP(A536,sales_dataset!I:K,3,0)</f>
        <v>Rochester</v>
      </c>
      <c r="D536" t="str">
        <f>IFERROR(_xlfn.XLOOKUP(A536,sales_dataset!I:I,sales_dataset!G:G),"Not Found")</f>
        <v>Credit Card</v>
      </c>
    </row>
    <row r="537" spans="1:4">
      <c r="A537" s="4" t="s">
        <v>1118</v>
      </c>
      <c r="B537" t="str">
        <f>VLOOKUP(A537,sales_dataset!I:J,2,0)</f>
        <v>Texas</v>
      </c>
      <c r="C537" t="str">
        <f>VLOOKUP(A537,sales_dataset!I:K,3,0)</f>
        <v>Austin</v>
      </c>
      <c r="D537" t="str">
        <f>IFERROR(_xlfn.XLOOKUP(A537,sales_dataset!I:I,sales_dataset!G:G),"Not Found")</f>
        <v>Debit Card</v>
      </c>
    </row>
    <row r="538" spans="1:4">
      <c r="A538" s="6" t="s">
        <v>1120</v>
      </c>
      <c r="B538" t="str">
        <f>VLOOKUP(A538,sales_dataset!I:J,2,0)</f>
        <v>New York</v>
      </c>
      <c r="C538" t="str">
        <f>VLOOKUP(A538,sales_dataset!I:K,3,0)</f>
        <v>Rochester</v>
      </c>
      <c r="D538" t="str">
        <f>IFERROR(_xlfn.XLOOKUP(A538,sales_dataset!I:I,sales_dataset!G:G),"Not Found")</f>
        <v>Credit Card</v>
      </c>
    </row>
    <row r="539" spans="1:4">
      <c r="A539" s="4" t="s">
        <v>1123</v>
      </c>
      <c r="B539" t="str">
        <f>VLOOKUP(A539,sales_dataset!I:J,2,0)</f>
        <v>New York</v>
      </c>
      <c r="C539" t="str">
        <f>VLOOKUP(A539,sales_dataset!I:K,3,0)</f>
        <v>Buffalo</v>
      </c>
      <c r="D539" t="str">
        <f>IFERROR(_xlfn.XLOOKUP(A539,sales_dataset!I:I,sales_dataset!G:G),"Not Found")</f>
        <v>Debit Card</v>
      </c>
    </row>
    <row r="540" spans="1:4">
      <c r="A540" s="6" t="s">
        <v>1125</v>
      </c>
      <c r="B540" t="str">
        <f>VLOOKUP(A540,sales_dataset!I:J,2,0)</f>
        <v>Ohio</v>
      </c>
      <c r="C540" t="str">
        <f>VLOOKUP(A540,sales_dataset!I:K,3,0)</f>
        <v>Cincinnati</v>
      </c>
      <c r="D540" t="str">
        <f>IFERROR(_xlfn.XLOOKUP(A540,sales_dataset!I:I,sales_dataset!G:G),"Not Found")</f>
        <v>Debit Card</v>
      </c>
    </row>
    <row r="541" spans="1:4">
      <c r="A541" s="6" t="s">
        <v>1128</v>
      </c>
      <c r="B541" t="str">
        <f>VLOOKUP(A541,sales_dataset!I:J,2,0)</f>
        <v>Texas</v>
      </c>
      <c r="C541" t="str">
        <f>VLOOKUP(A541,sales_dataset!I:K,3,0)</f>
        <v>Dallas</v>
      </c>
      <c r="D541" t="str">
        <f>IFERROR(_xlfn.XLOOKUP(A541,sales_dataset!I:I,sales_dataset!G:G),"Not Found")</f>
        <v>EMI</v>
      </c>
    </row>
    <row r="542" spans="1:4">
      <c r="A542" s="6" t="s">
        <v>1130</v>
      </c>
      <c r="B542" t="str">
        <f>VLOOKUP(A542,sales_dataset!I:J,2,0)</f>
        <v>Florida</v>
      </c>
      <c r="C542" t="str">
        <f>VLOOKUP(A542,sales_dataset!I:K,3,0)</f>
        <v>Miami</v>
      </c>
      <c r="D542" t="str">
        <f>IFERROR(_xlfn.XLOOKUP(A542,sales_dataset!I:I,sales_dataset!G:G),"Not Found")</f>
        <v>UPI</v>
      </c>
    </row>
    <row r="543" spans="1:4">
      <c r="A543" s="6" t="s">
        <v>1132</v>
      </c>
      <c r="B543" t="str">
        <f>VLOOKUP(A543,sales_dataset!I:J,2,0)</f>
        <v>New York</v>
      </c>
      <c r="C543" t="str">
        <f>VLOOKUP(A543,sales_dataset!I:K,3,0)</f>
        <v>New York City</v>
      </c>
      <c r="D543" t="str">
        <f>IFERROR(_xlfn.XLOOKUP(A543,sales_dataset!I:I,sales_dataset!G:G),"Not Found")</f>
        <v>COD</v>
      </c>
    </row>
    <row r="544" spans="1:4">
      <c r="A544" s="4" t="s">
        <v>791</v>
      </c>
      <c r="B544" t="str">
        <f>VLOOKUP(A544,sales_dataset!I:J,2,0)</f>
        <v>Florida</v>
      </c>
      <c r="C544" t="str">
        <f>VLOOKUP(A544,sales_dataset!I:K,3,0)</f>
        <v>Orlando</v>
      </c>
      <c r="D544" t="str">
        <f>IFERROR(_xlfn.XLOOKUP(A544,sales_dataset!I:I,sales_dataset!G:G),"Not Found")</f>
        <v>EMI</v>
      </c>
    </row>
    <row r="545" spans="1:4">
      <c r="A545" s="6" t="s">
        <v>1134</v>
      </c>
      <c r="B545" t="str">
        <f>VLOOKUP(A545,sales_dataset!I:J,2,0)</f>
        <v>Florida</v>
      </c>
      <c r="C545" t="str">
        <f>VLOOKUP(A545,sales_dataset!I:K,3,0)</f>
        <v>Miami</v>
      </c>
      <c r="D545" t="str">
        <f>IFERROR(_xlfn.XLOOKUP(A545,sales_dataset!I:I,sales_dataset!G:G),"Not Found")</f>
        <v>UPI</v>
      </c>
    </row>
    <row r="546" spans="1:4">
      <c r="A546" s="6" t="s">
        <v>1137</v>
      </c>
      <c r="B546" t="str">
        <f>VLOOKUP(A546,sales_dataset!I:J,2,0)</f>
        <v>California</v>
      </c>
      <c r="C546" t="str">
        <f>VLOOKUP(A546,sales_dataset!I:K,3,0)</f>
        <v>San Diego</v>
      </c>
      <c r="D546" t="str">
        <f>IFERROR(_xlfn.XLOOKUP(A546,sales_dataset!I:I,sales_dataset!G:G),"Not Found")</f>
        <v>Credit Card</v>
      </c>
    </row>
    <row r="547" spans="1:4">
      <c r="A547" s="4" t="s">
        <v>1138</v>
      </c>
      <c r="B547" t="str">
        <f>VLOOKUP(A547,sales_dataset!I:J,2,0)</f>
        <v>California</v>
      </c>
      <c r="C547" t="str">
        <f>VLOOKUP(A547,sales_dataset!I:K,3,0)</f>
        <v>Los Angeles</v>
      </c>
      <c r="D547" t="str">
        <f>IFERROR(_xlfn.XLOOKUP(A547,sales_dataset!I:I,sales_dataset!G:G),"Not Found")</f>
        <v>Credit Card</v>
      </c>
    </row>
    <row r="548" spans="1:4">
      <c r="A548" s="6" t="s">
        <v>1141</v>
      </c>
      <c r="B548" t="str">
        <f>VLOOKUP(A548,sales_dataset!I:J,2,0)</f>
        <v>California</v>
      </c>
      <c r="C548" t="str">
        <f>VLOOKUP(A548,sales_dataset!I:K,3,0)</f>
        <v>Los Angeles</v>
      </c>
      <c r="D548" t="str">
        <f>IFERROR(_xlfn.XLOOKUP(A548,sales_dataset!I:I,sales_dataset!G:G),"Not Found")</f>
        <v>Credit Card</v>
      </c>
    </row>
    <row r="549" spans="1:4">
      <c r="A549" s="4" t="s">
        <v>1142</v>
      </c>
      <c r="B549" t="str">
        <f>VLOOKUP(A549,sales_dataset!I:J,2,0)</f>
        <v>Florida</v>
      </c>
      <c r="C549" t="str">
        <f>VLOOKUP(A549,sales_dataset!I:K,3,0)</f>
        <v>Tampa</v>
      </c>
      <c r="D549" t="str">
        <f>IFERROR(_xlfn.XLOOKUP(A549,sales_dataset!I:I,sales_dataset!G:G),"Not Found")</f>
        <v>Credit Card</v>
      </c>
    </row>
    <row r="550" spans="1:4">
      <c r="A550" s="6" t="s">
        <v>1145</v>
      </c>
      <c r="B550" t="str">
        <f>VLOOKUP(A550,sales_dataset!I:J,2,0)</f>
        <v>Ohio</v>
      </c>
      <c r="C550" t="str">
        <f>VLOOKUP(A550,sales_dataset!I:K,3,0)</f>
        <v>Cleveland</v>
      </c>
      <c r="D550" t="str">
        <f>IFERROR(_xlfn.XLOOKUP(A550,sales_dataset!I:I,sales_dataset!G:G),"Not Found")</f>
        <v>EMI</v>
      </c>
    </row>
    <row r="551" spans="1:4">
      <c r="A551" s="6" t="s">
        <v>1147</v>
      </c>
      <c r="B551" t="str">
        <f>VLOOKUP(A551,sales_dataset!I:J,2,0)</f>
        <v>Ohio</v>
      </c>
      <c r="C551" t="str">
        <f>VLOOKUP(A551,sales_dataset!I:K,3,0)</f>
        <v>Cincinnati</v>
      </c>
      <c r="D551" t="str">
        <f>IFERROR(_xlfn.XLOOKUP(A551,sales_dataset!I:I,sales_dataset!G:G),"Not Found")</f>
        <v>UPI</v>
      </c>
    </row>
    <row r="552" spans="1:4">
      <c r="A552" s="4" t="s">
        <v>1149</v>
      </c>
      <c r="B552" t="str">
        <f>VLOOKUP(A552,sales_dataset!I:J,2,0)</f>
        <v>California</v>
      </c>
      <c r="C552" t="str">
        <f>VLOOKUP(A552,sales_dataset!I:K,3,0)</f>
        <v>San Diego</v>
      </c>
      <c r="D552" t="str">
        <f>IFERROR(_xlfn.XLOOKUP(A552,sales_dataset!I:I,sales_dataset!G:G),"Not Found")</f>
        <v>UPI</v>
      </c>
    </row>
    <row r="553" spans="1:4">
      <c r="A553" s="4" t="s">
        <v>1152</v>
      </c>
      <c r="B553" t="str">
        <f>VLOOKUP(A553,sales_dataset!I:J,2,0)</f>
        <v>Ohio</v>
      </c>
      <c r="C553" t="str">
        <f>VLOOKUP(A553,sales_dataset!I:K,3,0)</f>
        <v>Columbus</v>
      </c>
      <c r="D553" t="str">
        <f>IFERROR(_xlfn.XLOOKUP(A553,sales_dataset!I:I,sales_dataset!G:G),"Not Found")</f>
        <v>COD</v>
      </c>
    </row>
    <row r="554" spans="1:4">
      <c r="A554" s="6" t="s">
        <v>1154</v>
      </c>
      <c r="B554" t="str">
        <f>VLOOKUP(A554,sales_dataset!I:J,2,0)</f>
        <v>New York</v>
      </c>
      <c r="C554" t="str">
        <f>VLOOKUP(A554,sales_dataset!I:K,3,0)</f>
        <v>New York City</v>
      </c>
      <c r="D554" t="str">
        <f>IFERROR(_xlfn.XLOOKUP(A554,sales_dataset!I:I,sales_dataset!G:G),"Not Found")</f>
        <v>Credit Card</v>
      </c>
    </row>
    <row r="555" spans="1:4">
      <c r="A555" s="6" t="s">
        <v>1157</v>
      </c>
      <c r="B555" t="str">
        <f>VLOOKUP(A555,sales_dataset!I:J,2,0)</f>
        <v>Illinois</v>
      </c>
      <c r="C555" t="str">
        <f>VLOOKUP(A555,sales_dataset!I:K,3,0)</f>
        <v>Springfield</v>
      </c>
      <c r="D555" t="str">
        <f>IFERROR(_xlfn.XLOOKUP(A555,sales_dataset!I:I,sales_dataset!G:G),"Not Found")</f>
        <v>UPI</v>
      </c>
    </row>
    <row r="556" spans="1:4">
      <c r="A556" s="4" t="s">
        <v>1160</v>
      </c>
      <c r="B556" t="str">
        <f>VLOOKUP(A556,sales_dataset!I:J,2,0)</f>
        <v>Florida</v>
      </c>
      <c r="C556" t="str">
        <f>VLOOKUP(A556,sales_dataset!I:K,3,0)</f>
        <v>Orlando</v>
      </c>
      <c r="D556" t="str">
        <f>IFERROR(_xlfn.XLOOKUP(A556,sales_dataset!I:I,sales_dataset!G:G),"Not Found")</f>
        <v>EMI</v>
      </c>
    </row>
    <row r="557" spans="1:4">
      <c r="A557" s="6" t="s">
        <v>1161</v>
      </c>
      <c r="B557" t="str">
        <f>VLOOKUP(A557,sales_dataset!I:J,2,0)</f>
        <v>Florida</v>
      </c>
      <c r="C557" t="str">
        <f>VLOOKUP(A557,sales_dataset!I:K,3,0)</f>
        <v>Miami</v>
      </c>
      <c r="D557" t="str">
        <f>IFERROR(_xlfn.XLOOKUP(A557,sales_dataset!I:I,sales_dataset!G:G),"Not Found")</f>
        <v>EMI</v>
      </c>
    </row>
    <row r="558" spans="1:4">
      <c r="A558" s="6" t="s">
        <v>1164</v>
      </c>
      <c r="B558" t="str">
        <f>VLOOKUP(A558,sales_dataset!I:J,2,0)</f>
        <v>Texas</v>
      </c>
      <c r="C558" t="str">
        <f>VLOOKUP(A558,sales_dataset!I:K,3,0)</f>
        <v>Dallas</v>
      </c>
      <c r="D558" t="str">
        <f>IFERROR(_xlfn.XLOOKUP(A558,sales_dataset!I:I,sales_dataset!G:G),"Not Found")</f>
        <v>Debit Card</v>
      </c>
    </row>
    <row r="559" spans="1:4">
      <c r="A559" s="4" t="s">
        <v>1166</v>
      </c>
      <c r="B559" t="str">
        <f>VLOOKUP(A559,sales_dataset!I:J,2,0)</f>
        <v>New York</v>
      </c>
      <c r="C559" t="str">
        <f>VLOOKUP(A559,sales_dataset!I:K,3,0)</f>
        <v>Rochester</v>
      </c>
      <c r="D559" t="str">
        <f>IFERROR(_xlfn.XLOOKUP(A559,sales_dataset!I:I,sales_dataset!G:G),"Not Found")</f>
        <v>Debit Card</v>
      </c>
    </row>
    <row r="560" spans="1:4">
      <c r="A560" s="4" t="s">
        <v>1169</v>
      </c>
      <c r="B560" t="str">
        <f>VLOOKUP(A560,sales_dataset!I:J,2,0)</f>
        <v>California</v>
      </c>
      <c r="C560" t="str">
        <f>VLOOKUP(A560,sales_dataset!I:K,3,0)</f>
        <v>San Diego</v>
      </c>
      <c r="D560" t="str">
        <f>IFERROR(_xlfn.XLOOKUP(A560,sales_dataset!I:I,sales_dataset!G:G),"Not Found")</f>
        <v>EMI</v>
      </c>
    </row>
    <row r="561" spans="1:4">
      <c r="A561" s="4" t="s">
        <v>1171</v>
      </c>
      <c r="B561" t="str">
        <f>VLOOKUP(A561,sales_dataset!I:J,2,0)</f>
        <v>Illinois</v>
      </c>
      <c r="C561" t="str">
        <f>VLOOKUP(A561,sales_dataset!I:K,3,0)</f>
        <v>Peoria</v>
      </c>
      <c r="D561" t="str">
        <f>IFERROR(_xlfn.XLOOKUP(A561,sales_dataset!I:I,sales_dataset!G:G),"Not Found")</f>
        <v>UPI</v>
      </c>
    </row>
    <row r="562" spans="1:4">
      <c r="A562" s="6" t="s">
        <v>1172</v>
      </c>
      <c r="B562" t="str">
        <f>VLOOKUP(A562,sales_dataset!I:J,2,0)</f>
        <v>New York</v>
      </c>
      <c r="C562" t="str">
        <f>VLOOKUP(A562,sales_dataset!I:K,3,0)</f>
        <v>Buffalo</v>
      </c>
      <c r="D562" t="str">
        <f>IFERROR(_xlfn.XLOOKUP(A562,sales_dataset!I:I,sales_dataset!G:G),"Not Found")</f>
        <v>UPI</v>
      </c>
    </row>
    <row r="563" spans="1:4">
      <c r="A563" s="4" t="s">
        <v>1174</v>
      </c>
      <c r="B563" t="str">
        <f>VLOOKUP(A563,sales_dataset!I:J,2,0)</f>
        <v>Florida</v>
      </c>
      <c r="C563" t="str">
        <f>VLOOKUP(A563,sales_dataset!I:K,3,0)</f>
        <v>Orlando</v>
      </c>
      <c r="D563" t="str">
        <f>IFERROR(_xlfn.XLOOKUP(A563,sales_dataset!I:I,sales_dataset!G:G),"Not Found")</f>
        <v>UPI</v>
      </c>
    </row>
    <row r="564" spans="1:4">
      <c r="A564" s="6" t="s">
        <v>1175</v>
      </c>
      <c r="B564" t="str">
        <f>VLOOKUP(A564,sales_dataset!I:J,2,0)</f>
        <v>New York</v>
      </c>
      <c r="C564" t="str">
        <f>VLOOKUP(A564,sales_dataset!I:K,3,0)</f>
        <v>Buffalo</v>
      </c>
      <c r="D564" t="str">
        <f>IFERROR(_xlfn.XLOOKUP(A564,sales_dataset!I:I,sales_dataset!G:G),"Not Found")</f>
        <v>UPI</v>
      </c>
    </row>
    <row r="565" spans="1:4">
      <c r="A565" s="4" t="s">
        <v>1178</v>
      </c>
      <c r="B565" t="str">
        <f>VLOOKUP(A565,sales_dataset!I:J,2,0)</f>
        <v>New York</v>
      </c>
      <c r="C565" t="str">
        <f>VLOOKUP(A565,sales_dataset!I:K,3,0)</f>
        <v>New York City</v>
      </c>
      <c r="D565" t="str">
        <f>IFERROR(_xlfn.XLOOKUP(A565,sales_dataset!I:I,sales_dataset!G:G),"Not Found")</f>
        <v>COD</v>
      </c>
    </row>
    <row r="566" spans="1:4">
      <c r="A566" s="4" t="s">
        <v>1180</v>
      </c>
      <c r="B566" t="str">
        <f>VLOOKUP(A566,sales_dataset!I:J,2,0)</f>
        <v>Florida</v>
      </c>
      <c r="C566" t="str">
        <f>VLOOKUP(A566,sales_dataset!I:K,3,0)</f>
        <v>Tampa</v>
      </c>
      <c r="D566" t="str">
        <f>IFERROR(_xlfn.XLOOKUP(A566,sales_dataset!I:I,sales_dataset!G:G),"Not Found")</f>
        <v>COD</v>
      </c>
    </row>
    <row r="567" spans="1:4">
      <c r="A567" s="6" t="s">
        <v>1182</v>
      </c>
      <c r="B567" t="str">
        <f>VLOOKUP(A567,sales_dataset!I:J,2,0)</f>
        <v>Texas</v>
      </c>
      <c r="C567" t="str">
        <f>VLOOKUP(A567,sales_dataset!I:K,3,0)</f>
        <v>Houston</v>
      </c>
      <c r="D567" t="str">
        <f>IFERROR(_xlfn.XLOOKUP(A567,sales_dataset!I:I,sales_dataset!G:G),"Not Found")</f>
        <v>COD</v>
      </c>
    </row>
    <row r="568" spans="1:4">
      <c r="A568" s="4" t="s">
        <v>1183</v>
      </c>
      <c r="B568" t="str">
        <f>VLOOKUP(A568,sales_dataset!I:J,2,0)</f>
        <v>Texas</v>
      </c>
      <c r="C568" t="str">
        <f>VLOOKUP(A568,sales_dataset!I:K,3,0)</f>
        <v>Dallas</v>
      </c>
      <c r="D568" t="str">
        <f>IFERROR(_xlfn.XLOOKUP(A568,sales_dataset!I:I,sales_dataset!G:G),"Not Found")</f>
        <v>COD</v>
      </c>
    </row>
    <row r="569" spans="1:4">
      <c r="A569" s="6" t="s">
        <v>978</v>
      </c>
      <c r="B569" t="str">
        <f>VLOOKUP(A569,sales_dataset!I:J,2,0)</f>
        <v>Ohio</v>
      </c>
      <c r="C569" t="str">
        <f>VLOOKUP(A569,sales_dataset!I:K,3,0)</f>
        <v>Columbus</v>
      </c>
      <c r="D569" t="str">
        <f>IFERROR(_xlfn.XLOOKUP(A569,sales_dataset!I:I,sales_dataset!G:G),"Not Found")</f>
        <v>EMI</v>
      </c>
    </row>
    <row r="570" spans="1:4">
      <c r="A570" s="4" t="s">
        <v>980</v>
      </c>
      <c r="B570" t="str">
        <f>VLOOKUP(A570,sales_dataset!I:J,2,0)</f>
        <v>Florida</v>
      </c>
      <c r="C570" t="str">
        <f>VLOOKUP(A570,sales_dataset!I:K,3,0)</f>
        <v>Orlando</v>
      </c>
      <c r="D570" t="str">
        <f>IFERROR(_xlfn.XLOOKUP(A570,sales_dataset!I:I,sales_dataset!G:G),"Not Found")</f>
        <v>EMI</v>
      </c>
    </row>
    <row r="571" spans="1:4">
      <c r="A571" s="6" t="s">
        <v>982</v>
      </c>
      <c r="B571" t="str">
        <f>VLOOKUP(A571,sales_dataset!I:J,2,0)</f>
        <v>California</v>
      </c>
      <c r="C571" t="str">
        <f>VLOOKUP(A571,sales_dataset!I:K,3,0)</f>
        <v>San Francisco</v>
      </c>
      <c r="D571" t="str">
        <f>IFERROR(_xlfn.XLOOKUP(A571,sales_dataset!I:I,sales_dataset!G:G),"Not Found")</f>
        <v>EMI</v>
      </c>
    </row>
    <row r="572" spans="1:4">
      <c r="A572" s="4" t="s">
        <v>1185</v>
      </c>
      <c r="B572" t="str">
        <f>VLOOKUP(A572,sales_dataset!I:J,2,0)</f>
        <v>California</v>
      </c>
      <c r="C572" t="str">
        <f>VLOOKUP(A572,sales_dataset!I:K,3,0)</f>
        <v>San Francisco</v>
      </c>
      <c r="D572" t="str">
        <f>IFERROR(_xlfn.XLOOKUP(A572,sales_dataset!I:I,sales_dataset!G:G),"Not Found")</f>
        <v>Debit Card</v>
      </c>
    </row>
    <row r="573" spans="1:4">
      <c r="A573" s="6" t="s">
        <v>1187</v>
      </c>
      <c r="B573" t="str">
        <f>VLOOKUP(A573,sales_dataset!I:J,2,0)</f>
        <v>Texas</v>
      </c>
      <c r="C573" t="str">
        <f>VLOOKUP(A573,sales_dataset!I:K,3,0)</f>
        <v>Houston</v>
      </c>
      <c r="D573" t="str">
        <f>IFERROR(_xlfn.XLOOKUP(A573,sales_dataset!I:I,sales_dataset!G:G),"Not Found")</f>
        <v>Debit Card</v>
      </c>
    </row>
    <row r="574" spans="1:4">
      <c r="A574" s="4" t="s">
        <v>1190</v>
      </c>
      <c r="B574" t="str">
        <f>VLOOKUP(A574,sales_dataset!I:J,2,0)</f>
        <v>New York</v>
      </c>
      <c r="C574" t="str">
        <f>VLOOKUP(A574,sales_dataset!I:K,3,0)</f>
        <v>Buffalo</v>
      </c>
      <c r="D574" t="str">
        <f>IFERROR(_xlfn.XLOOKUP(A574,sales_dataset!I:I,sales_dataset!G:G),"Not Found")</f>
        <v>EMI</v>
      </c>
    </row>
    <row r="575" spans="1:4">
      <c r="A575" s="4" t="s">
        <v>1192</v>
      </c>
      <c r="B575" t="str">
        <f>VLOOKUP(A575,sales_dataset!I:J,2,0)</f>
        <v>California</v>
      </c>
      <c r="C575" t="str">
        <f>VLOOKUP(A575,sales_dataset!I:K,3,0)</f>
        <v>Los Angeles</v>
      </c>
      <c r="D575" t="str">
        <f>IFERROR(_xlfn.XLOOKUP(A575,sales_dataset!I:I,sales_dataset!G:G),"Not Found")</f>
        <v>Debit Card</v>
      </c>
    </row>
    <row r="576" spans="1:4">
      <c r="A576" s="6" t="s">
        <v>1194</v>
      </c>
      <c r="B576" t="str">
        <f>VLOOKUP(A576,sales_dataset!I:J,2,0)</f>
        <v>Texas</v>
      </c>
      <c r="C576" t="str">
        <f>VLOOKUP(A576,sales_dataset!I:K,3,0)</f>
        <v>Austin</v>
      </c>
      <c r="D576" t="str">
        <f>IFERROR(_xlfn.XLOOKUP(A576,sales_dataset!I:I,sales_dataset!G:G),"Not Found")</f>
        <v>Debit Card</v>
      </c>
    </row>
    <row r="577" spans="1:4">
      <c r="A577" s="4" t="s">
        <v>1196</v>
      </c>
      <c r="B577" t="str">
        <f>VLOOKUP(A577,sales_dataset!I:J,2,0)</f>
        <v>Illinois</v>
      </c>
      <c r="C577" t="str">
        <f>VLOOKUP(A577,sales_dataset!I:K,3,0)</f>
        <v>Chicago</v>
      </c>
      <c r="D577" t="str">
        <f>IFERROR(_xlfn.XLOOKUP(A577,sales_dataset!I:I,sales_dataset!G:G),"Not Found")</f>
        <v>Debit Card</v>
      </c>
    </row>
    <row r="578" spans="1:4">
      <c r="A578" s="4" t="s">
        <v>1199</v>
      </c>
      <c r="B578" t="str">
        <f>VLOOKUP(A578,sales_dataset!I:J,2,0)</f>
        <v>Florida</v>
      </c>
      <c r="C578" t="str">
        <f>VLOOKUP(A578,sales_dataset!I:K,3,0)</f>
        <v>Miami</v>
      </c>
      <c r="D578" t="str">
        <f>IFERROR(_xlfn.XLOOKUP(A578,sales_dataset!I:I,sales_dataset!G:G),"Not Found")</f>
        <v>Credit Card</v>
      </c>
    </row>
    <row r="579" spans="1:4">
      <c r="A579" s="6" t="s">
        <v>1201</v>
      </c>
      <c r="B579" t="str">
        <f>VLOOKUP(A579,sales_dataset!I:J,2,0)</f>
        <v>Ohio</v>
      </c>
      <c r="C579" t="str">
        <f>VLOOKUP(A579,sales_dataset!I:K,3,0)</f>
        <v>Cincinnati</v>
      </c>
      <c r="D579" t="str">
        <f>IFERROR(_xlfn.XLOOKUP(A579,sales_dataset!I:I,sales_dataset!G:G),"Not Found")</f>
        <v>COD</v>
      </c>
    </row>
    <row r="580" spans="1:4">
      <c r="A580" s="4" t="s">
        <v>1203</v>
      </c>
      <c r="B580" t="str">
        <f>VLOOKUP(A580,sales_dataset!I:J,2,0)</f>
        <v>Texas</v>
      </c>
      <c r="C580" t="str">
        <f>VLOOKUP(A580,sales_dataset!I:K,3,0)</f>
        <v>Houston</v>
      </c>
      <c r="D580" t="str">
        <f>IFERROR(_xlfn.XLOOKUP(A580,sales_dataset!I:I,sales_dataset!G:G),"Not Found")</f>
        <v>COD</v>
      </c>
    </row>
    <row r="581" spans="1:4">
      <c r="A581" s="6" t="s">
        <v>556</v>
      </c>
      <c r="B581" t="str">
        <f>VLOOKUP(A581,sales_dataset!I:J,2,0)</f>
        <v>Illinois</v>
      </c>
      <c r="C581" t="str">
        <f>VLOOKUP(A581,sales_dataset!I:K,3,0)</f>
        <v>Peoria</v>
      </c>
      <c r="D581" t="str">
        <f>IFERROR(_xlfn.XLOOKUP(A581,sales_dataset!I:I,sales_dataset!G:G),"Not Found")</f>
        <v>Credit Card</v>
      </c>
    </row>
    <row r="582" spans="1:4">
      <c r="A582" s="4" t="s">
        <v>558</v>
      </c>
      <c r="B582" t="str">
        <f>VLOOKUP(A582,sales_dataset!I:J,2,0)</f>
        <v>New York</v>
      </c>
      <c r="C582" t="str">
        <f>VLOOKUP(A582,sales_dataset!I:K,3,0)</f>
        <v>Buffalo</v>
      </c>
      <c r="D582" t="str">
        <f>IFERROR(_xlfn.XLOOKUP(A582,sales_dataset!I:I,sales_dataset!G:G),"Not Found")</f>
        <v>Credit Card</v>
      </c>
    </row>
    <row r="583" spans="1:4">
      <c r="A583" s="4" t="s">
        <v>779</v>
      </c>
      <c r="B583" t="str">
        <f>VLOOKUP(A583,sales_dataset!I:J,2,0)</f>
        <v>Texas</v>
      </c>
      <c r="C583" t="str">
        <f>VLOOKUP(A583,sales_dataset!I:K,3,0)</f>
        <v>Houston</v>
      </c>
      <c r="D583" t="str">
        <f>IFERROR(_xlfn.XLOOKUP(A583,sales_dataset!I:I,sales_dataset!G:G),"Not Found")</f>
        <v>COD</v>
      </c>
    </row>
    <row r="584" spans="1:4">
      <c r="A584" s="6" t="s">
        <v>1206</v>
      </c>
      <c r="B584" t="str">
        <f>VLOOKUP(A584,sales_dataset!I:J,2,0)</f>
        <v>New York</v>
      </c>
      <c r="C584" t="str">
        <f>VLOOKUP(A584,sales_dataset!I:K,3,0)</f>
        <v>New York City</v>
      </c>
      <c r="D584" t="str">
        <f>IFERROR(_xlfn.XLOOKUP(A584,sales_dataset!I:I,sales_dataset!G:G),"Not Found")</f>
        <v>COD</v>
      </c>
    </row>
    <row r="585" spans="1:4">
      <c r="A585" s="4" t="s">
        <v>496</v>
      </c>
      <c r="B585" t="str">
        <f>VLOOKUP(A585,sales_dataset!I:J,2,0)</f>
        <v>Texas</v>
      </c>
      <c r="C585" t="str">
        <f>VLOOKUP(A585,sales_dataset!I:K,3,0)</f>
        <v>Houston</v>
      </c>
      <c r="D585" t="str">
        <f>IFERROR(_xlfn.XLOOKUP(A585,sales_dataset!I:I,sales_dataset!G:G),"Not Found")</f>
        <v>COD</v>
      </c>
    </row>
    <row r="586" spans="1:4">
      <c r="A586" s="4" t="s">
        <v>167</v>
      </c>
      <c r="B586" t="str">
        <f>VLOOKUP(A586,sales_dataset!I:J,2,0)</f>
        <v>New York</v>
      </c>
      <c r="C586" t="str">
        <f>VLOOKUP(A586,sales_dataset!I:K,3,0)</f>
        <v>Buffalo</v>
      </c>
      <c r="D586" t="str">
        <f>IFERROR(_xlfn.XLOOKUP(A586,sales_dataset!I:I,sales_dataset!G:G),"Not Found")</f>
        <v>UPI</v>
      </c>
    </row>
    <row r="587" spans="1:4">
      <c r="A587" s="6" t="s">
        <v>168</v>
      </c>
      <c r="B587" t="str">
        <f>VLOOKUP(A587,sales_dataset!I:J,2,0)</f>
        <v>Florida</v>
      </c>
      <c r="C587" t="str">
        <f>VLOOKUP(A587,sales_dataset!I:K,3,0)</f>
        <v>Orlando</v>
      </c>
      <c r="D587" t="str">
        <f>IFERROR(_xlfn.XLOOKUP(A587,sales_dataset!I:I,sales_dataset!G:G),"Not Found")</f>
        <v>UPI</v>
      </c>
    </row>
    <row r="588" spans="1:4">
      <c r="A588" s="4" t="s">
        <v>170</v>
      </c>
      <c r="B588" t="str">
        <f>VLOOKUP(A588,sales_dataset!I:J,2,0)</f>
        <v>Illinois</v>
      </c>
      <c r="C588" t="str">
        <f>VLOOKUP(A588,sales_dataset!I:K,3,0)</f>
        <v>Springfield</v>
      </c>
      <c r="D588" t="str">
        <f>IFERROR(_xlfn.XLOOKUP(A588,sales_dataset!I:I,sales_dataset!G:G),"Not Found")</f>
        <v>UPI</v>
      </c>
    </row>
    <row r="589" spans="1:4">
      <c r="A589" s="6" t="s">
        <v>917</v>
      </c>
      <c r="B589" t="str">
        <f>VLOOKUP(A589,sales_dataset!I:J,2,0)</f>
        <v>Texas</v>
      </c>
      <c r="C589" t="str">
        <f>VLOOKUP(A589,sales_dataset!I:K,3,0)</f>
        <v>Austin</v>
      </c>
      <c r="D589" t="str">
        <f>IFERROR(_xlfn.XLOOKUP(A589,sales_dataset!I:I,sales_dataset!G:G),"Not Found")</f>
        <v>Debit Card</v>
      </c>
    </row>
    <row r="590" spans="1:4">
      <c r="A590" s="6" t="s">
        <v>1208</v>
      </c>
      <c r="B590" t="str">
        <f>VLOOKUP(A590,sales_dataset!I:J,2,0)</f>
        <v>California</v>
      </c>
      <c r="C590" t="str">
        <f>VLOOKUP(A590,sales_dataset!I:K,3,0)</f>
        <v>San Diego</v>
      </c>
      <c r="D590" t="str">
        <f>IFERROR(_xlfn.XLOOKUP(A590,sales_dataset!I:I,sales_dataset!G:G),"Not Found")</f>
        <v>Debit Card</v>
      </c>
    </row>
    <row r="591" spans="1:4">
      <c r="A591" s="4" t="s">
        <v>1210</v>
      </c>
      <c r="B591" t="str">
        <f>VLOOKUP(A591,sales_dataset!I:J,2,0)</f>
        <v>Florida</v>
      </c>
      <c r="C591" t="str">
        <f>VLOOKUP(A591,sales_dataset!I:K,3,0)</f>
        <v>Miami</v>
      </c>
      <c r="D591" t="str">
        <f>IFERROR(_xlfn.XLOOKUP(A591,sales_dataset!I:I,sales_dataset!G:G),"Not Found")</f>
        <v>Debit Card</v>
      </c>
    </row>
    <row r="592" spans="1:4">
      <c r="A592" s="4" t="s">
        <v>561</v>
      </c>
      <c r="B592" t="str">
        <f>VLOOKUP(A592,sales_dataset!I:J,2,0)</f>
        <v>Texas</v>
      </c>
      <c r="C592" t="str">
        <f>VLOOKUP(A592,sales_dataset!I:K,3,0)</f>
        <v>Houston</v>
      </c>
      <c r="D592" t="str">
        <f>IFERROR(_xlfn.XLOOKUP(A592,sales_dataset!I:I,sales_dataset!G:G),"Not Found")</f>
        <v>COD</v>
      </c>
    </row>
    <row r="593" spans="1:4">
      <c r="A593" s="6" t="s">
        <v>563</v>
      </c>
      <c r="B593" t="str">
        <f>VLOOKUP(A593,sales_dataset!I:J,2,0)</f>
        <v>Illinois</v>
      </c>
      <c r="C593" t="str">
        <f>VLOOKUP(A593,sales_dataset!I:K,3,0)</f>
        <v>Chicago</v>
      </c>
      <c r="D593" t="str">
        <f>IFERROR(_xlfn.XLOOKUP(A593,sales_dataset!I:I,sales_dataset!G:G),"Not Found")</f>
        <v>COD</v>
      </c>
    </row>
    <row r="594" spans="1:4">
      <c r="A594" s="4" t="s">
        <v>565</v>
      </c>
      <c r="B594" t="str">
        <f>VLOOKUP(A594,sales_dataset!I:J,2,0)</f>
        <v>California</v>
      </c>
      <c r="C594" t="str">
        <f>VLOOKUP(A594,sales_dataset!I:K,3,0)</f>
        <v>San Francisco</v>
      </c>
      <c r="D594" t="str">
        <f>IFERROR(_xlfn.XLOOKUP(A594,sales_dataset!I:I,sales_dataset!G:G),"Not Found")</f>
        <v>COD</v>
      </c>
    </row>
    <row r="595" spans="1:4">
      <c r="A595" s="4" t="s">
        <v>1212</v>
      </c>
      <c r="B595" t="str">
        <f>VLOOKUP(A595,sales_dataset!I:J,2,0)</f>
        <v>Illinois</v>
      </c>
      <c r="C595" t="str">
        <f>VLOOKUP(A595,sales_dataset!I:K,3,0)</f>
        <v>Peoria</v>
      </c>
      <c r="D595" t="str">
        <f>IFERROR(_xlfn.XLOOKUP(A595,sales_dataset!I:I,sales_dataset!G:G),"Not Found")</f>
        <v>EMI</v>
      </c>
    </row>
    <row r="596" spans="1:4">
      <c r="A596" s="6" t="s">
        <v>1215</v>
      </c>
      <c r="B596" t="str">
        <f>VLOOKUP(A596,sales_dataset!I:J,2,0)</f>
        <v>Illinois</v>
      </c>
      <c r="C596" t="str">
        <f>VLOOKUP(A596,sales_dataset!I:K,3,0)</f>
        <v>Springfield</v>
      </c>
      <c r="D596" t="str">
        <f>IFERROR(_xlfn.XLOOKUP(A596,sales_dataset!I:I,sales_dataset!G:G),"Not Found")</f>
        <v>UPI</v>
      </c>
    </row>
    <row r="597" spans="1:4">
      <c r="A597" s="4" t="s">
        <v>1217</v>
      </c>
      <c r="B597" t="str">
        <f>VLOOKUP(A597,sales_dataset!I:J,2,0)</f>
        <v>California</v>
      </c>
      <c r="C597" t="str">
        <f>VLOOKUP(A597,sales_dataset!I:K,3,0)</f>
        <v>Los Angeles</v>
      </c>
      <c r="D597" t="str">
        <f>IFERROR(_xlfn.XLOOKUP(A597,sales_dataset!I:I,sales_dataset!G:G),"Not Found")</f>
        <v>UPI</v>
      </c>
    </row>
    <row r="598" spans="1:4">
      <c r="A598" s="6" t="s">
        <v>1219</v>
      </c>
      <c r="B598" t="str">
        <f>VLOOKUP(A598,sales_dataset!I:J,2,0)</f>
        <v>Illinois</v>
      </c>
      <c r="C598" t="str">
        <f>VLOOKUP(A598,sales_dataset!I:K,3,0)</f>
        <v>Chicago</v>
      </c>
      <c r="D598" t="str">
        <f>IFERROR(_xlfn.XLOOKUP(A598,sales_dataset!I:I,sales_dataset!G:G),"Not Found")</f>
        <v>UPI</v>
      </c>
    </row>
    <row r="599" spans="1:4">
      <c r="A599" s="4" t="s">
        <v>1220</v>
      </c>
      <c r="B599" t="str">
        <f>VLOOKUP(A599,sales_dataset!I:J,2,0)</f>
        <v>New York</v>
      </c>
      <c r="C599" t="str">
        <f>VLOOKUP(A599,sales_dataset!I:K,3,0)</f>
        <v>Rochester</v>
      </c>
      <c r="D599" t="str">
        <f>IFERROR(_xlfn.XLOOKUP(A599,sales_dataset!I:I,sales_dataset!G:G),"Not Found")</f>
        <v>UPI</v>
      </c>
    </row>
    <row r="600" spans="1:4">
      <c r="A600" s="6" t="s">
        <v>1222</v>
      </c>
      <c r="B600" t="str">
        <f>VLOOKUP(A600,sales_dataset!I:J,2,0)</f>
        <v>Texas</v>
      </c>
      <c r="C600" t="str">
        <f>VLOOKUP(A600,sales_dataset!I:K,3,0)</f>
        <v>Houston</v>
      </c>
      <c r="D600" t="str">
        <f>IFERROR(_xlfn.XLOOKUP(A600,sales_dataset!I:I,sales_dataset!G:G),"Not Found")</f>
        <v>EMI</v>
      </c>
    </row>
    <row r="601" spans="1:4">
      <c r="A601" s="6" t="s">
        <v>1224</v>
      </c>
      <c r="B601" t="str">
        <f>VLOOKUP(A601,sales_dataset!I:J,2,0)</f>
        <v>Illinois</v>
      </c>
      <c r="C601" t="str">
        <f>VLOOKUP(A601,sales_dataset!I:K,3,0)</f>
        <v>Chicago</v>
      </c>
      <c r="D601" t="str">
        <f>IFERROR(_xlfn.XLOOKUP(A601,sales_dataset!I:I,sales_dataset!G:G),"Not Found")</f>
        <v>EMI</v>
      </c>
    </row>
    <row r="602" spans="1:4">
      <c r="A602" s="6" t="s">
        <v>688</v>
      </c>
      <c r="B602" t="str">
        <f>VLOOKUP(A602,sales_dataset!I:J,2,0)</f>
        <v>California</v>
      </c>
      <c r="C602" t="str">
        <f>VLOOKUP(A602,sales_dataset!I:K,3,0)</f>
        <v>San Francisco</v>
      </c>
      <c r="D602" t="str">
        <f>IFERROR(_xlfn.XLOOKUP(A602,sales_dataset!I:I,sales_dataset!G:G),"Not Found")</f>
        <v>UPI</v>
      </c>
    </row>
    <row r="603" spans="1:4">
      <c r="A603" s="6" t="s">
        <v>857</v>
      </c>
      <c r="B603" t="str">
        <f>VLOOKUP(A603,sales_dataset!I:J,2,0)</f>
        <v>Florida</v>
      </c>
      <c r="C603" t="str">
        <f>VLOOKUP(A603,sales_dataset!I:K,3,0)</f>
        <v>Orlando</v>
      </c>
      <c r="D603" t="str">
        <f>IFERROR(_xlfn.XLOOKUP(A603,sales_dataset!I:I,sales_dataset!G:G),"Not Found")</f>
        <v>Debit Card</v>
      </c>
    </row>
    <row r="604" spans="1:4">
      <c r="A604" s="6" t="s">
        <v>1227</v>
      </c>
      <c r="B604" t="str">
        <f>VLOOKUP(A604,sales_dataset!I:J,2,0)</f>
        <v>California</v>
      </c>
      <c r="C604" t="str">
        <f>VLOOKUP(A604,sales_dataset!I:K,3,0)</f>
        <v>San Francisco</v>
      </c>
      <c r="D604" t="str">
        <f>IFERROR(_xlfn.XLOOKUP(A604,sales_dataset!I:I,sales_dataset!G:G),"Not Found")</f>
        <v>EMI</v>
      </c>
    </row>
    <row r="605" spans="1:4">
      <c r="A605" s="4" t="s">
        <v>1228</v>
      </c>
      <c r="B605" t="str">
        <f>VLOOKUP(A605,sales_dataset!I:J,2,0)</f>
        <v>Illinois</v>
      </c>
      <c r="C605" t="str">
        <f>VLOOKUP(A605,sales_dataset!I:K,3,0)</f>
        <v>Chicago</v>
      </c>
      <c r="D605" t="str">
        <f>IFERROR(_xlfn.XLOOKUP(A605,sales_dataset!I:I,sales_dataset!G:G),"Not Found")</f>
        <v>EMI</v>
      </c>
    </row>
    <row r="606" spans="1:4">
      <c r="A606" s="6" t="s">
        <v>1229</v>
      </c>
      <c r="B606" t="str">
        <f>VLOOKUP(A606,sales_dataset!I:J,2,0)</f>
        <v>Illinois</v>
      </c>
      <c r="C606" t="str">
        <f>VLOOKUP(A606,sales_dataset!I:K,3,0)</f>
        <v>Peoria</v>
      </c>
      <c r="D606" t="str">
        <f>IFERROR(_xlfn.XLOOKUP(A606,sales_dataset!I:I,sales_dataset!G:G),"Not Found")</f>
        <v>EMI</v>
      </c>
    </row>
    <row r="607" spans="1:4">
      <c r="A607" s="4" t="s">
        <v>1230</v>
      </c>
      <c r="B607" t="str">
        <f>VLOOKUP(A607,sales_dataset!I:J,2,0)</f>
        <v>New York</v>
      </c>
      <c r="C607" t="str">
        <f>VLOOKUP(A607,sales_dataset!I:K,3,0)</f>
        <v>Buffalo</v>
      </c>
      <c r="D607" t="str">
        <f>IFERROR(_xlfn.XLOOKUP(A607,sales_dataset!I:I,sales_dataset!G:G),"Not Found")</f>
        <v>EMI</v>
      </c>
    </row>
    <row r="608" spans="1:4">
      <c r="A608" s="6" t="s">
        <v>164</v>
      </c>
      <c r="B608" t="str">
        <f>VLOOKUP(A608,sales_dataset!I:J,2,0)</f>
        <v>Florida</v>
      </c>
      <c r="C608" t="str">
        <f>VLOOKUP(A608,sales_dataset!I:K,3,0)</f>
        <v>Miami</v>
      </c>
      <c r="D608" t="str">
        <f>IFERROR(_xlfn.XLOOKUP(A608,sales_dataset!I:I,sales_dataset!G:G),"Not Found")</f>
        <v>EMI</v>
      </c>
    </row>
    <row r="609" spans="1:4">
      <c r="A609" s="6" t="s">
        <v>887</v>
      </c>
      <c r="B609" t="str">
        <f>VLOOKUP(A609,sales_dataset!I:J,2,0)</f>
        <v>California</v>
      </c>
      <c r="C609" t="str">
        <f>VLOOKUP(A609,sales_dataset!I:K,3,0)</f>
        <v>San Francisco</v>
      </c>
      <c r="D609" t="str">
        <f>IFERROR(_xlfn.XLOOKUP(A609,sales_dataset!I:I,sales_dataset!G:G),"Not Found")</f>
        <v>Credit Card</v>
      </c>
    </row>
    <row r="610" spans="1:4">
      <c r="A610" s="4" t="s">
        <v>1232</v>
      </c>
      <c r="B610" t="str">
        <f>VLOOKUP(A610,sales_dataset!I:J,2,0)</f>
        <v>Florida</v>
      </c>
      <c r="C610" t="str">
        <f>VLOOKUP(A610,sales_dataset!I:K,3,0)</f>
        <v>Tampa</v>
      </c>
      <c r="D610" t="str">
        <f>IFERROR(_xlfn.XLOOKUP(A610,sales_dataset!I:I,sales_dataset!G:G),"Not Found")</f>
        <v>EMI</v>
      </c>
    </row>
    <row r="611" spans="1:4">
      <c r="A611" s="4" t="s">
        <v>1234</v>
      </c>
      <c r="B611" t="str">
        <f>VLOOKUP(A611,sales_dataset!I:J,2,0)</f>
        <v>Florida</v>
      </c>
      <c r="C611" t="str">
        <f>VLOOKUP(A611,sales_dataset!I:K,3,0)</f>
        <v>Miami</v>
      </c>
      <c r="D611" t="str">
        <f>IFERROR(_xlfn.XLOOKUP(A611,sales_dataset!I:I,sales_dataset!G:G),"Not Found")</f>
        <v>COD</v>
      </c>
    </row>
    <row r="612" spans="1:4">
      <c r="A612" s="4" t="s">
        <v>1236</v>
      </c>
      <c r="B612" t="str">
        <f>VLOOKUP(A612,sales_dataset!I:J,2,0)</f>
        <v>Texas</v>
      </c>
      <c r="C612" t="str">
        <f>VLOOKUP(A612,sales_dataset!I:K,3,0)</f>
        <v>Dallas</v>
      </c>
      <c r="D612" t="str">
        <f>IFERROR(_xlfn.XLOOKUP(A612,sales_dataset!I:I,sales_dataset!G:G),"Not Found")</f>
        <v>UPI</v>
      </c>
    </row>
    <row r="613" spans="1:4">
      <c r="A613" s="6" t="s">
        <v>1237</v>
      </c>
      <c r="B613" t="str">
        <f>VLOOKUP(A613,sales_dataset!I:J,2,0)</f>
        <v>Illinois</v>
      </c>
      <c r="C613" t="str">
        <f>VLOOKUP(A613,sales_dataset!I:K,3,0)</f>
        <v>Peoria</v>
      </c>
      <c r="D613" t="str">
        <f>IFERROR(_xlfn.XLOOKUP(A613,sales_dataset!I:I,sales_dataset!G:G),"Not Found")</f>
        <v>UPI</v>
      </c>
    </row>
    <row r="614" spans="1:4">
      <c r="A614" s="6" t="s">
        <v>1239</v>
      </c>
      <c r="B614" t="str">
        <f>VLOOKUP(A614,sales_dataset!I:J,2,0)</f>
        <v>Illinois</v>
      </c>
      <c r="C614" t="str">
        <f>VLOOKUP(A614,sales_dataset!I:K,3,0)</f>
        <v>Chicago</v>
      </c>
      <c r="D614" t="str">
        <f>IFERROR(_xlfn.XLOOKUP(A614,sales_dataset!I:I,sales_dataset!G:G),"Not Found")</f>
        <v>COD</v>
      </c>
    </row>
    <row r="615" spans="1:4">
      <c r="A615" s="6" t="s">
        <v>1241</v>
      </c>
      <c r="B615" t="str">
        <f>VLOOKUP(A615,sales_dataset!I:J,2,0)</f>
        <v>California</v>
      </c>
      <c r="C615" t="str">
        <f>VLOOKUP(A615,sales_dataset!I:K,3,0)</f>
        <v>San Diego</v>
      </c>
      <c r="D615" t="str">
        <f>IFERROR(_xlfn.XLOOKUP(A615,sales_dataset!I:I,sales_dataset!G:G),"Not Found")</f>
        <v>Credit Card</v>
      </c>
    </row>
    <row r="616" spans="1:4">
      <c r="A616" s="4" t="s">
        <v>1242</v>
      </c>
      <c r="B616" t="str">
        <f>VLOOKUP(A616,sales_dataset!I:J,2,0)</f>
        <v>Ohio</v>
      </c>
      <c r="C616" t="str">
        <f>VLOOKUP(A616,sales_dataset!I:K,3,0)</f>
        <v>Cincinnati</v>
      </c>
      <c r="D616" t="str">
        <f>IFERROR(_xlfn.XLOOKUP(A616,sales_dataset!I:I,sales_dataset!G:G),"Not Found")</f>
        <v>Credit Card</v>
      </c>
    </row>
    <row r="617" spans="1:4">
      <c r="A617" s="6" t="s">
        <v>779</v>
      </c>
      <c r="B617" t="str">
        <f>VLOOKUP(A617,sales_dataset!I:J,2,0)</f>
        <v>Texas</v>
      </c>
      <c r="C617" t="str">
        <f>VLOOKUP(A617,sales_dataset!I:K,3,0)</f>
        <v>Houston</v>
      </c>
      <c r="D617" t="str">
        <f>IFERROR(_xlfn.XLOOKUP(A617,sales_dataset!I:I,sales_dataset!G:G),"Not Found")</f>
        <v>COD</v>
      </c>
    </row>
    <row r="618" spans="1:4">
      <c r="A618" s="4" t="s">
        <v>892</v>
      </c>
      <c r="B618" t="str">
        <f>VLOOKUP(A618,sales_dataset!I:J,2,0)</f>
        <v>Illinois</v>
      </c>
      <c r="C618" t="str">
        <f>VLOOKUP(A618,sales_dataset!I:K,3,0)</f>
        <v>Springfield</v>
      </c>
      <c r="D618" t="str">
        <f>IFERROR(_xlfn.XLOOKUP(A618,sales_dataset!I:I,sales_dataset!G:G),"Not Found")</f>
        <v>UPI</v>
      </c>
    </row>
    <row r="619" spans="1:4">
      <c r="A619" s="6" t="s">
        <v>894</v>
      </c>
      <c r="B619" t="str">
        <f>VLOOKUP(A619,sales_dataset!I:J,2,0)</f>
        <v>Illinois</v>
      </c>
      <c r="C619" t="str">
        <f>VLOOKUP(A619,sales_dataset!I:K,3,0)</f>
        <v>Chicago</v>
      </c>
      <c r="D619" t="str">
        <f>IFERROR(_xlfn.XLOOKUP(A619,sales_dataset!I:I,sales_dataset!G:G),"Not Found")</f>
        <v>UPI</v>
      </c>
    </row>
    <row r="620" spans="1:4">
      <c r="A620" s="6" t="s">
        <v>243</v>
      </c>
      <c r="B620" t="str">
        <f>VLOOKUP(A620,sales_dataset!I:J,2,0)</f>
        <v>Florida</v>
      </c>
      <c r="C620" t="str">
        <f>VLOOKUP(A620,sales_dataset!I:K,3,0)</f>
        <v>Miami</v>
      </c>
      <c r="D620" t="str">
        <f>IFERROR(_xlfn.XLOOKUP(A620,sales_dataset!I:I,sales_dataset!G:G),"Not Found")</f>
        <v>UPI</v>
      </c>
    </row>
    <row r="621" spans="1:4">
      <c r="A621" s="4" t="s">
        <v>245</v>
      </c>
      <c r="B621" t="str">
        <f>VLOOKUP(A621,sales_dataset!I:J,2,0)</f>
        <v>Illinois</v>
      </c>
      <c r="C621" t="str">
        <f>VLOOKUP(A621,sales_dataset!I:K,3,0)</f>
        <v>Chicago</v>
      </c>
      <c r="D621" t="str">
        <f>IFERROR(_xlfn.XLOOKUP(A621,sales_dataset!I:I,sales_dataset!G:G),"Not Found")</f>
        <v>UPI</v>
      </c>
    </row>
    <row r="622" spans="1:4">
      <c r="A622" s="6" t="s">
        <v>247</v>
      </c>
      <c r="B622" t="str">
        <f>VLOOKUP(A622,sales_dataset!I:J,2,0)</f>
        <v>New York</v>
      </c>
      <c r="C622" t="str">
        <f>VLOOKUP(A622,sales_dataset!I:K,3,0)</f>
        <v>Buffalo</v>
      </c>
      <c r="D622" t="str">
        <f>IFERROR(_xlfn.XLOOKUP(A622,sales_dataset!I:I,sales_dataset!G:G),"Not Found")</f>
        <v>UPI</v>
      </c>
    </row>
    <row r="623" spans="1:4">
      <c r="A623" s="6" t="s">
        <v>229</v>
      </c>
      <c r="B623" t="str">
        <f>VLOOKUP(A623,sales_dataset!I:J,2,0)</f>
        <v>Texas</v>
      </c>
      <c r="C623" t="str">
        <f>VLOOKUP(A623,sales_dataset!I:K,3,0)</f>
        <v>Dallas</v>
      </c>
      <c r="D623" t="str">
        <f>IFERROR(_xlfn.XLOOKUP(A623,sales_dataset!I:I,sales_dataset!G:G),"Not Found")</f>
        <v>Credit Card</v>
      </c>
    </row>
    <row r="624" spans="1:4">
      <c r="A624" s="6" t="s">
        <v>551</v>
      </c>
      <c r="B624" t="str">
        <f>VLOOKUP(A624,sales_dataset!I:J,2,0)</f>
        <v>Ohio</v>
      </c>
      <c r="C624" t="str">
        <f>VLOOKUP(A624,sales_dataset!I:K,3,0)</f>
        <v>Columbus</v>
      </c>
      <c r="D624" t="str">
        <f>IFERROR(_xlfn.XLOOKUP(A624,sales_dataset!I:I,sales_dataset!G:G),"Not Found")</f>
        <v>Debit Card</v>
      </c>
    </row>
    <row r="625" spans="1:4">
      <c r="A625" s="4" t="s">
        <v>1245</v>
      </c>
      <c r="B625" t="str">
        <f>VLOOKUP(A625,sales_dataset!I:J,2,0)</f>
        <v>Ohio</v>
      </c>
      <c r="C625" t="str">
        <f>VLOOKUP(A625,sales_dataset!I:K,3,0)</f>
        <v>Cleveland</v>
      </c>
      <c r="D625" t="str">
        <f>IFERROR(_xlfn.XLOOKUP(A625,sales_dataset!I:I,sales_dataset!G:G),"Not Found")</f>
        <v>Credit Card</v>
      </c>
    </row>
    <row r="626" spans="1:4">
      <c r="A626" s="4" t="s">
        <v>252</v>
      </c>
      <c r="B626" t="str">
        <f>VLOOKUP(A626,sales_dataset!I:J,2,0)</f>
        <v>Texas</v>
      </c>
      <c r="C626" t="str">
        <f>VLOOKUP(A626,sales_dataset!I:K,3,0)</f>
        <v>Houston</v>
      </c>
      <c r="D626" t="str">
        <f>IFERROR(_xlfn.XLOOKUP(A626,sales_dataset!I:I,sales_dataset!G:G),"Not Found")</f>
        <v>COD</v>
      </c>
    </row>
    <row r="627" spans="1:4">
      <c r="A627" s="6" t="s">
        <v>321</v>
      </c>
      <c r="B627" t="str">
        <f>VLOOKUP(A627,sales_dataset!I:J,2,0)</f>
        <v>Illinois</v>
      </c>
      <c r="C627" t="str">
        <f>VLOOKUP(A627,sales_dataset!I:K,3,0)</f>
        <v>Chicago</v>
      </c>
      <c r="D627" t="str">
        <f>IFERROR(_xlfn.XLOOKUP(A627,sales_dataset!I:I,sales_dataset!G:G),"Not Found")</f>
        <v>Debit Card</v>
      </c>
    </row>
    <row r="628" spans="1:4">
      <c r="A628" s="4" t="s">
        <v>322</v>
      </c>
      <c r="B628" t="str">
        <f>VLOOKUP(A628,sales_dataset!I:J,2,0)</f>
        <v>New York</v>
      </c>
      <c r="C628" t="str">
        <f>VLOOKUP(A628,sales_dataset!I:K,3,0)</f>
        <v>Rochester</v>
      </c>
      <c r="D628" t="str">
        <f>IFERROR(_xlfn.XLOOKUP(A628,sales_dataset!I:I,sales_dataset!G:G),"Not Found")</f>
        <v>Debit Card</v>
      </c>
    </row>
    <row r="629" spans="1:4">
      <c r="A629" s="4" t="s">
        <v>1248</v>
      </c>
      <c r="B629" t="str">
        <f>VLOOKUP(A629,sales_dataset!I:J,2,0)</f>
        <v>Florida</v>
      </c>
      <c r="C629" t="str">
        <f>VLOOKUP(A629,sales_dataset!I:K,3,0)</f>
        <v>Tampa</v>
      </c>
      <c r="D629" t="str">
        <f>IFERROR(_xlfn.XLOOKUP(A629,sales_dataset!I:I,sales_dataset!G:G),"Not Found")</f>
        <v>COD</v>
      </c>
    </row>
    <row r="630" spans="1:4">
      <c r="A630" s="6" t="s">
        <v>376</v>
      </c>
      <c r="B630" t="str">
        <f>VLOOKUP(A630,sales_dataset!I:J,2,0)</f>
        <v>Illinois</v>
      </c>
      <c r="C630" t="str">
        <f>VLOOKUP(A630,sales_dataset!I:K,3,0)</f>
        <v>Springfield</v>
      </c>
      <c r="D630" t="str">
        <f>IFERROR(_xlfn.XLOOKUP(A630,sales_dataset!I:I,sales_dataset!G:G),"Not Found")</f>
        <v>EMI</v>
      </c>
    </row>
    <row r="631" spans="1:4">
      <c r="A631" s="6" t="s">
        <v>1250</v>
      </c>
      <c r="B631" t="str">
        <f>VLOOKUP(A631,sales_dataset!I:J,2,0)</f>
        <v>Florida</v>
      </c>
      <c r="C631" t="str">
        <f>VLOOKUP(A631,sales_dataset!I:K,3,0)</f>
        <v>Tampa</v>
      </c>
      <c r="D631" t="str">
        <f>IFERROR(_xlfn.XLOOKUP(A631,sales_dataset!I:I,sales_dataset!G:G),"Not Found")</f>
        <v>UPI</v>
      </c>
    </row>
    <row r="632" spans="1:4">
      <c r="A632" s="6" t="s">
        <v>1253</v>
      </c>
      <c r="B632" t="str">
        <f>VLOOKUP(A632,sales_dataset!I:J,2,0)</f>
        <v>New York</v>
      </c>
      <c r="C632" t="str">
        <f>VLOOKUP(A632,sales_dataset!I:K,3,0)</f>
        <v>Buffalo</v>
      </c>
      <c r="D632" t="str">
        <f>IFERROR(_xlfn.XLOOKUP(A632,sales_dataset!I:I,sales_dataset!G:G),"Not Found")</f>
        <v>Debit Card</v>
      </c>
    </row>
    <row r="633" spans="1:4">
      <c r="A633" s="6" t="s">
        <v>1256</v>
      </c>
      <c r="B633" t="str">
        <f>VLOOKUP(A633,sales_dataset!I:J,2,0)</f>
        <v>Texas</v>
      </c>
      <c r="C633" t="str">
        <f>VLOOKUP(A633,sales_dataset!I:K,3,0)</f>
        <v>Houston</v>
      </c>
      <c r="D633" t="str">
        <f>IFERROR(_xlfn.XLOOKUP(A633,sales_dataset!I:I,sales_dataset!G:G),"Not Found")</f>
        <v>Debit Card</v>
      </c>
    </row>
    <row r="634" spans="1:4">
      <c r="A634" s="6" t="s">
        <v>1258</v>
      </c>
      <c r="B634" t="str">
        <f>VLOOKUP(A634,sales_dataset!I:J,2,0)</f>
        <v>Texas</v>
      </c>
      <c r="C634" t="str">
        <f>VLOOKUP(A634,sales_dataset!I:K,3,0)</f>
        <v>Dallas</v>
      </c>
      <c r="D634" t="str">
        <f>IFERROR(_xlfn.XLOOKUP(A634,sales_dataset!I:I,sales_dataset!G:G),"Not Found")</f>
        <v>Debit Card</v>
      </c>
    </row>
    <row r="635" spans="1:4">
      <c r="A635" s="4" t="s">
        <v>1260</v>
      </c>
      <c r="B635" t="str">
        <f>VLOOKUP(A635,sales_dataset!I:J,2,0)</f>
        <v>Texas</v>
      </c>
      <c r="C635" t="str">
        <f>VLOOKUP(A635,sales_dataset!I:K,3,0)</f>
        <v>Houston</v>
      </c>
      <c r="D635" t="str">
        <f>IFERROR(_xlfn.XLOOKUP(A635,sales_dataset!I:I,sales_dataset!G:G),"Not Found")</f>
        <v>Debit Card</v>
      </c>
    </row>
    <row r="636" spans="1:4">
      <c r="A636" s="6" t="s">
        <v>1261</v>
      </c>
      <c r="B636" t="str">
        <f>VLOOKUP(A636,sales_dataset!I:J,2,0)</f>
        <v>Ohio</v>
      </c>
      <c r="C636" t="str">
        <f>VLOOKUP(A636,sales_dataset!I:K,3,0)</f>
        <v>Cincinnati</v>
      </c>
      <c r="D636" t="str">
        <f>IFERROR(_xlfn.XLOOKUP(A636,sales_dataset!I:I,sales_dataset!G:G),"Not Found")</f>
        <v>Debit Card</v>
      </c>
    </row>
    <row r="637" spans="1:4">
      <c r="A637" s="6" t="s">
        <v>1212</v>
      </c>
      <c r="B637" t="str">
        <f>VLOOKUP(A637,sales_dataset!I:J,2,0)</f>
        <v>Illinois</v>
      </c>
      <c r="C637" t="str">
        <f>VLOOKUP(A637,sales_dataset!I:K,3,0)</f>
        <v>Peoria</v>
      </c>
      <c r="D637" t="str">
        <f>IFERROR(_xlfn.XLOOKUP(A637,sales_dataset!I:I,sales_dataset!G:G),"Not Found")</f>
        <v>EMI</v>
      </c>
    </row>
    <row r="638" spans="1:4">
      <c r="A638" s="6" t="s">
        <v>1263</v>
      </c>
      <c r="B638" t="str">
        <f>VLOOKUP(A638,sales_dataset!I:J,2,0)</f>
        <v>Florida</v>
      </c>
      <c r="C638" t="str">
        <f>VLOOKUP(A638,sales_dataset!I:K,3,0)</f>
        <v>Orlando</v>
      </c>
      <c r="D638" t="str">
        <f>IFERROR(_xlfn.XLOOKUP(A638,sales_dataset!I:I,sales_dataset!G:G),"Not Found")</f>
        <v>Debit Card</v>
      </c>
    </row>
    <row r="639" spans="1:4">
      <c r="A639" s="4" t="s">
        <v>1265</v>
      </c>
      <c r="B639" t="str">
        <f>VLOOKUP(A639,sales_dataset!I:J,2,0)</f>
        <v>Texas</v>
      </c>
      <c r="C639" t="str">
        <f>VLOOKUP(A639,sales_dataset!I:K,3,0)</f>
        <v>Houston</v>
      </c>
      <c r="D639" t="str">
        <f>IFERROR(_xlfn.XLOOKUP(A639,sales_dataset!I:I,sales_dataset!G:G),"Not Found")</f>
        <v>Debit Card</v>
      </c>
    </row>
    <row r="640" spans="1:4">
      <c r="A640" s="6" t="s">
        <v>1268</v>
      </c>
      <c r="B640" t="str">
        <f>VLOOKUP(A640,sales_dataset!I:J,2,0)</f>
        <v>Texas</v>
      </c>
      <c r="C640" t="str">
        <f>VLOOKUP(A640,sales_dataset!I:K,3,0)</f>
        <v>Dallas</v>
      </c>
      <c r="D640" t="str">
        <f>IFERROR(_xlfn.XLOOKUP(A640,sales_dataset!I:I,sales_dataset!G:G),"Not Found")</f>
        <v>EMI</v>
      </c>
    </row>
    <row r="641" spans="1:4">
      <c r="A641" s="4" t="s">
        <v>1270</v>
      </c>
      <c r="B641" t="str">
        <f>VLOOKUP(A641,sales_dataset!I:J,2,0)</f>
        <v>Florida</v>
      </c>
      <c r="C641" t="str">
        <f>VLOOKUP(A641,sales_dataset!I:K,3,0)</f>
        <v>Tampa</v>
      </c>
      <c r="D641" t="str">
        <f>IFERROR(_xlfn.XLOOKUP(A641,sales_dataset!I:I,sales_dataset!G:G),"Not Found")</f>
        <v>EMI</v>
      </c>
    </row>
    <row r="642" spans="1:4">
      <c r="A642" s="6" t="s">
        <v>1271</v>
      </c>
      <c r="B642" t="str">
        <f>VLOOKUP(A642,sales_dataset!I:J,2,0)</f>
        <v>Illinois</v>
      </c>
      <c r="C642" t="str">
        <f>VLOOKUP(A642,sales_dataset!I:K,3,0)</f>
        <v>Springfield</v>
      </c>
      <c r="D642" t="str">
        <f>IFERROR(_xlfn.XLOOKUP(A642,sales_dataset!I:I,sales_dataset!G:G),"Not Found")</f>
        <v>EMI</v>
      </c>
    </row>
    <row r="643" spans="1:4">
      <c r="A643" s="4" t="s">
        <v>391</v>
      </c>
      <c r="B643" t="str">
        <f>VLOOKUP(A643,sales_dataset!I:J,2,0)</f>
        <v>New York</v>
      </c>
      <c r="C643" t="str">
        <f>VLOOKUP(A643,sales_dataset!I:K,3,0)</f>
        <v>New York City</v>
      </c>
      <c r="D643" t="str">
        <f>IFERROR(_xlfn.XLOOKUP(A643,sales_dataset!I:I,sales_dataset!G:G),"Not Found")</f>
        <v>UPI</v>
      </c>
    </row>
    <row r="644" spans="1:4">
      <c r="A644" s="6" t="s">
        <v>1273</v>
      </c>
      <c r="B644" t="str">
        <f>VLOOKUP(A644,sales_dataset!I:J,2,0)</f>
        <v>Florida</v>
      </c>
      <c r="C644" t="str">
        <f>VLOOKUP(A644,sales_dataset!I:K,3,0)</f>
        <v>Orlando</v>
      </c>
      <c r="D644" t="str">
        <f>IFERROR(_xlfn.XLOOKUP(A644,sales_dataset!I:I,sales_dataset!G:G),"Not Found")</f>
        <v>UPI</v>
      </c>
    </row>
    <row r="645" spans="1:4">
      <c r="A645" s="4" t="s">
        <v>1275</v>
      </c>
      <c r="B645" t="str">
        <f>VLOOKUP(A645,sales_dataset!I:J,2,0)</f>
        <v>New York</v>
      </c>
      <c r="C645" t="str">
        <f>VLOOKUP(A645,sales_dataset!I:K,3,0)</f>
        <v>Buffalo</v>
      </c>
      <c r="D645" t="str">
        <f>IFERROR(_xlfn.XLOOKUP(A645,sales_dataset!I:I,sales_dataset!G:G),"Not Found")</f>
        <v>EMI</v>
      </c>
    </row>
    <row r="646" spans="1:4">
      <c r="A646" s="4" t="s">
        <v>750</v>
      </c>
      <c r="B646" t="str">
        <f>VLOOKUP(A646,sales_dataset!I:J,2,0)</f>
        <v>California</v>
      </c>
      <c r="C646" t="str">
        <f>VLOOKUP(A646,sales_dataset!I:K,3,0)</f>
        <v>San Diego</v>
      </c>
      <c r="D646" t="str">
        <f>IFERROR(_xlfn.XLOOKUP(A646,sales_dataset!I:I,sales_dataset!G:G),"Not Found")</f>
        <v>UPI</v>
      </c>
    </row>
    <row r="647" spans="1:4">
      <c r="A647" s="6" t="s">
        <v>1278</v>
      </c>
      <c r="B647" t="str">
        <f>VLOOKUP(A647,sales_dataset!I:J,2,0)</f>
        <v>Florida</v>
      </c>
      <c r="C647" t="str">
        <f>VLOOKUP(A647,sales_dataset!I:K,3,0)</f>
        <v>Orlando</v>
      </c>
      <c r="D647" t="str">
        <f>IFERROR(_xlfn.XLOOKUP(A647,sales_dataset!I:I,sales_dataset!G:G),"Not Found")</f>
        <v>Debit Card</v>
      </c>
    </row>
    <row r="648" spans="1:4">
      <c r="A648" s="4" t="s">
        <v>476</v>
      </c>
      <c r="B648" t="str">
        <f>VLOOKUP(A648,sales_dataset!I:J,2,0)</f>
        <v>Illinois</v>
      </c>
      <c r="C648" t="str">
        <f>VLOOKUP(A648,sales_dataset!I:K,3,0)</f>
        <v>Chicago</v>
      </c>
      <c r="D648" t="str">
        <f>IFERROR(_xlfn.XLOOKUP(A648,sales_dataset!I:I,sales_dataset!G:G),"Not Found")</f>
        <v>Credit Card</v>
      </c>
    </row>
    <row r="649" spans="1:4">
      <c r="A649" s="6" t="s">
        <v>920</v>
      </c>
      <c r="B649" t="str">
        <f>VLOOKUP(A649,sales_dataset!I:J,2,0)</f>
        <v>Ohio</v>
      </c>
      <c r="C649" t="str">
        <f>VLOOKUP(A649,sales_dataset!I:K,3,0)</f>
        <v>Cleveland</v>
      </c>
      <c r="D649" t="str">
        <f>IFERROR(_xlfn.XLOOKUP(A649,sales_dataset!I:I,sales_dataset!G:G),"Not Found")</f>
        <v>UPI</v>
      </c>
    </row>
    <row r="650" spans="1:4">
      <c r="A650" s="4" t="s">
        <v>922</v>
      </c>
      <c r="B650" t="str">
        <f>VLOOKUP(A650,sales_dataset!I:J,2,0)</f>
        <v>Ohio</v>
      </c>
      <c r="C650" t="str">
        <f>VLOOKUP(A650,sales_dataset!I:K,3,0)</f>
        <v>Columbus</v>
      </c>
      <c r="D650" t="str">
        <f>IFERROR(_xlfn.XLOOKUP(A650,sales_dataset!I:I,sales_dataset!G:G),"Not Found")</f>
        <v>UPI</v>
      </c>
    </row>
    <row r="651" spans="1:4">
      <c r="A651" s="4" t="s">
        <v>1281</v>
      </c>
      <c r="B651" t="str">
        <f>VLOOKUP(A651,sales_dataset!I:J,2,0)</f>
        <v>California</v>
      </c>
      <c r="C651" t="str">
        <f>VLOOKUP(A651,sales_dataset!I:K,3,0)</f>
        <v>Los Angeles</v>
      </c>
      <c r="D651" t="str">
        <f>IFERROR(_xlfn.XLOOKUP(A651,sales_dataset!I:I,sales_dataset!G:G),"Not Found")</f>
        <v>EMI</v>
      </c>
    </row>
    <row r="652" spans="1:4">
      <c r="A652" s="6" t="s">
        <v>1284</v>
      </c>
      <c r="B652" t="str">
        <f>VLOOKUP(A652,sales_dataset!I:J,2,0)</f>
        <v>Ohio</v>
      </c>
      <c r="C652" t="str">
        <f>VLOOKUP(A652,sales_dataset!I:K,3,0)</f>
        <v>Cincinnati</v>
      </c>
      <c r="D652" t="str">
        <f>IFERROR(_xlfn.XLOOKUP(A652,sales_dataset!I:I,sales_dataset!G:G),"Not Found")</f>
        <v>UPI</v>
      </c>
    </row>
    <row r="653" spans="1:4">
      <c r="A653" s="6" t="s">
        <v>1287</v>
      </c>
      <c r="B653" t="str">
        <f>VLOOKUP(A653,sales_dataset!I:J,2,0)</f>
        <v>California</v>
      </c>
      <c r="C653" t="str">
        <f>VLOOKUP(A653,sales_dataset!I:K,3,0)</f>
        <v>San Francisco</v>
      </c>
      <c r="D653" t="str">
        <f>IFERROR(_xlfn.XLOOKUP(A653,sales_dataset!I:I,sales_dataset!G:G),"Not Found")</f>
        <v>Credit Card</v>
      </c>
    </row>
    <row r="654" spans="1:4">
      <c r="A654" s="4" t="s">
        <v>1288</v>
      </c>
      <c r="B654" t="str">
        <f>VLOOKUP(A654,sales_dataset!I:J,2,0)</f>
        <v>California</v>
      </c>
      <c r="C654" t="str">
        <f>VLOOKUP(A654,sales_dataset!I:K,3,0)</f>
        <v>San Diego</v>
      </c>
      <c r="D654" t="str">
        <f>IFERROR(_xlfn.XLOOKUP(A654,sales_dataset!I:I,sales_dataset!G:G),"Not Found")</f>
        <v>Credit Card</v>
      </c>
    </row>
    <row r="655" spans="1:4">
      <c r="A655" s="6" t="s">
        <v>1290</v>
      </c>
      <c r="B655" t="str">
        <f>VLOOKUP(A655,sales_dataset!I:J,2,0)</f>
        <v>California</v>
      </c>
      <c r="C655" t="str">
        <f>VLOOKUP(A655,sales_dataset!I:K,3,0)</f>
        <v>San Diego</v>
      </c>
      <c r="D655" t="str">
        <f>IFERROR(_xlfn.XLOOKUP(A655,sales_dataset!I:I,sales_dataset!G:G),"Not Found")</f>
        <v>EMI</v>
      </c>
    </row>
    <row r="656" spans="1:4">
      <c r="A656" s="6" t="s">
        <v>1018</v>
      </c>
      <c r="B656" t="str">
        <f>VLOOKUP(A656,sales_dataset!I:J,2,0)</f>
        <v>New York</v>
      </c>
      <c r="C656" t="str">
        <f>VLOOKUP(A656,sales_dataset!I:K,3,0)</f>
        <v>Buffalo</v>
      </c>
      <c r="D656" t="str">
        <f>IFERROR(_xlfn.XLOOKUP(A656,sales_dataset!I:I,sales_dataset!G:G),"Not Found")</f>
        <v>EMI</v>
      </c>
    </row>
    <row r="657" spans="1:4">
      <c r="A657" s="4" t="s">
        <v>1019</v>
      </c>
      <c r="B657" t="str">
        <f>VLOOKUP(A657,sales_dataset!I:J,2,0)</f>
        <v>New York</v>
      </c>
      <c r="C657" t="str">
        <f>VLOOKUP(A657,sales_dataset!I:K,3,0)</f>
        <v>Rochester</v>
      </c>
      <c r="D657" t="str">
        <f>IFERROR(_xlfn.XLOOKUP(A657,sales_dataset!I:I,sales_dataset!G:G),"Not Found")</f>
        <v>EMI</v>
      </c>
    </row>
    <row r="658" spans="1:4">
      <c r="A658" s="6" t="s">
        <v>1278</v>
      </c>
      <c r="B658" t="str">
        <f>VLOOKUP(A658,sales_dataset!I:J,2,0)</f>
        <v>Florida</v>
      </c>
      <c r="C658" t="str">
        <f>VLOOKUP(A658,sales_dataset!I:K,3,0)</f>
        <v>Orlando</v>
      </c>
      <c r="D658" t="str">
        <f>IFERROR(_xlfn.XLOOKUP(A658,sales_dataset!I:I,sales_dataset!G:G),"Not Found")</f>
        <v>Debit Card</v>
      </c>
    </row>
    <row r="659" spans="1:4">
      <c r="A659" s="4" t="s">
        <v>278</v>
      </c>
      <c r="B659" t="str">
        <f>VLOOKUP(A659,sales_dataset!I:J,2,0)</f>
        <v>Texas</v>
      </c>
      <c r="C659" t="str">
        <f>VLOOKUP(A659,sales_dataset!I:K,3,0)</f>
        <v>Dallas</v>
      </c>
      <c r="D659" t="str">
        <f>IFERROR(_xlfn.XLOOKUP(A659,sales_dataset!I:I,sales_dataset!G:G),"Not Found")</f>
        <v>Credit Card</v>
      </c>
    </row>
    <row r="660" spans="1:4">
      <c r="A660" s="6" t="s">
        <v>1292</v>
      </c>
      <c r="B660" t="str">
        <f>VLOOKUP(A660,sales_dataset!I:J,2,0)</f>
        <v>Illinois</v>
      </c>
      <c r="C660" t="str">
        <f>VLOOKUP(A660,sales_dataset!I:K,3,0)</f>
        <v>Springfield</v>
      </c>
      <c r="D660" t="str">
        <f>IFERROR(_xlfn.XLOOKUP(A660,sales_dataset!I:I,sales_dataset!G:G),"Not Found")</f>
        <v>UPI</v>
      </c>
    </row>
    <row r="661" spans="1:4">
      <c r="A661" s="4" t="s">
        <v>134</v>
      </c>
      <c r="B661" t="str">
        <f>VLOOKUP(A661,sales_dataset!I:J,2,0)</f>
        <v>Ohio</v>
      </c>
      <c r="C661" t="str">
        <f>VLOOKUP(A661,sales_dataset!I:K,3,0)</f>
        <v>Cleveland</v>
      </c>
      <c r="D661" t="str">
        <f>IFERROR(_xlfn.XLOOKUP(A661,sales_dataset!I:I,sales_dataset!G:G),"Not Found")</f>
        <v>UPI</v>
      </c>
    </row>
    <row r="662" spans="1:4">
      <c r="A662" s="6" t="s">
        <v>135</v>
      </c>
      <c r="B662" t="str">
        <f>VLOOKUP(A662,sales_dataset!I:J,2,0)</f>
        <v>Florida</v>
      </c>
      <c r="C662" t="str">
        <f>VLOOKUP(A662,sales_dataset!I:K,3,0)</f>
        <v>Tampa</v>
      </c>
      <c r="D662" t="str">
        <f>IFERROR(_xlfn.XLOOKUP(A662,sales_dataset!I:I,sales_dataset!G:G),"Not Found")</f>
        <v>UPI</v>
      </c>
    </row>
    <row r="663" spans="1:4">
      <c r="A663" s="4" t="s">
        <v>1072</v>
      </c>
      <c r="B663" t="str">
        <f>VLOOKUP(A663,sales_dataset!I:J,2,0)</f>
        <v>Texas</v>
      </c>
      <c r="C663" t="str">
        <f>VLOOKUP(A663,sales_dataset!I:K,3,0)</f>
        <v>Dallas</v>
      </c>
      <c r="D663" t="str">
        <f>IFERROR(_xlfn.XLOOKUP(A663,sales_dataset!I:I,sales_dataset!G:G),"Not Found")</f>
        <v>UPI</v>
      </c>
    </row>
    <row r="664" spans="1:4">
      <c r="A664" s="4" t="s">
        <v>267</v>
      </c>
      <c r="B664" t="str">
        <f>VLOOKUP(A664,sales_dataset!I:J,2,0)</f>
        <v>California</v>
      </c>
      <c r="C664" t="str">
        <f>VLOOKUP(A664,sales_dataset!I:K,3,0)</f>
        <v>San Francisco</v>
      </c>
      <c r="D664" t="str">
        <f>IFERROR(_xlfn.XLOOKUP(A664,sales_dataset!I:I,sales_dataset!G:G),"Not Found")</f>
        <v>Debit Card</v>
      </c>
    </row>
    <row r="665" spans="1:4">
      <c r="A665" s="4" t="s">
        <v>161</v>
      </c>
      <c r="B665" t="str">
        <f>VLOOKUP(A665,sales_dataset!I:J,2,0)</f>
        <v>California</v>
      </c>
      <c r="C665" t="str">
        <f>VLOOKUP(A665,sales_dataset!I:K,3,0)</f>
        <v>San Diego</v>
      </c>
      <c r="D665" t="str">
        <f>IFERROR(_xlfn.XLOOKUP(A665,sales_dataset!I:I,sales_dataset!G:G),"Not Found")</f>
        <v>COD</v>
      </c>
    </row>
    <row r="666" spans="1:4">
      <c r="A666" s="4" t="s">
        <v>1295</v>
      </c>
      <c r="B666" t="str">
        <f>VLOOKUP(A666,sales_dataset!I:J,2,0)</f>
        <v>Florida</v>
      </c>
      <c r="C666" t="str">
        <f>VLOOKUP(A666,sales_dataset!I:K,3,0)</f>
        <v>Tampa</v>
      </c>
      <c r="D666" t="str">
        <f>IFERROR(_xlfn.XLOOKUP(A666,sales_dataset!I:I,sales_dataset!G:G),"Not Found")</f>
        <v>Debit Card</v>
      </c>
    </row>
    <row r="667" spans="1:4">
      <c r="A667" s="4" t="s">
        <v>1298</v>
      </c>
      <c r="B667" t="str">
        <f>VLOOKUP(A667,sales_dataset!I:J,2,0)</f>
        <v>California</v>
      </c>
      <c r="C667" t="str">
        <f>VLOOKUP(A667,sales_dataset!I:K,3,0)</f>
        <v>Los Angeles</v>
      </c>
      <c r="D667" t="str">
        <f>IFERROR(_xlfn.XLOOKUP(A667,sales_dataset!I:I,sales_dataset!G:G),"Not Found")</f>
        <v>EMI</v>
      </c>
    </row>
    <row r="668" spans="1:4">
      <c r="A668" s="6" t="s">
        <v>881</v>
      </c>
      <c r="B668" t="str">
        <f>VLOOKUP(A668,sales_dataset!I:J,2,0)</f>
        <v>New York</v>
      </c>
      <c r="C668" t="str">
        <f>VLOOKUP(A668,sales_dataset!I:K,3,0)</f>
        <v>Buffalo</v>
      </c>
      <c r="D668" t="str">
        <f>IFERROR(_xlfn.XLOOKUP(A668,sales_dataset!I:I,sales_dataset!G:G),"Not Found")</f>
        <v>EMI</v>
      </c>
    </row>
    <row r="669" spans="1:4">
      <c r="A669" s="6" t="s">
        <v>643</v>
      </c>
      <c r="B669" t="str">
        <f>VLOOKUP(A669,sales_dataset!I:J,2,0)</f>
        <v>California</v>
      </c>
      <c r="C669" t="str">
        <f>VLOOKUP(A669,sales_dataset!I:K,3,0)</f>
        <v>San Diego</v>
      </c>
      <c r="D669" t="str">
        <f>IFERROR(_xlfn.XLOOKUP(A669,sales_dataset!I:I,sales_dataset!G:G),"Not Found")</f>
        <v>UPI</v>
      </c>
    </row>
    <row r="670" spans="1:4">
      <c r="A670" s="4" t="s">
        <v>1300</v>
      </c>
      <c r="B670" t="str">
        <f>VLOOKUP(A670,sales_dataset!I:J,2,0)</f>
        <v>California</v>
      </c>
      <c r="C670" t="str">
        <f>VLOOKUP(A670,sales_dataset!I:K,3,0)</f>
        <v>Los Angeles</v>
      </c>
      <c r="D670" t="str">
        <f>IFERROR(_xlfn.XLOOKUP(A670,sales_dataset!I:I,sales_dataset!G:G),"Not Found")</f>
        <v>UPI</v>
      </c>
    </row>
    <row r="671" spans="1:4">
      <c r="A671" s="4" t="s">
        <v>1303</v>
      </c>
      <c r="B671" t="str">
        <f>VLOOKUP(A671,sales_dataset!I:J,2,0)</f>
        <v>Florida</v>
      </c>
      <c r="C671" t="str">
        <f>VLOOKUP(A671,sales_dataset!I:K,3,0)</f>
        <v>Tampa</v>
      </c>
      <c r="D671" t="str">
        <f>IFERROR(_xlfn.XLOOKUP(A671,sales_dataset!I:I,sales_dataset!G:G),"Not Found")</f>
        <v>COD</v>
      </c>
    </row>
    <row r="672" spans="1:4">
      <c r="A672" s="4" t="s">
        <v>1000</v>
      </c>
      <c r="B672" t="str">
        <f>VLOOKUP(A672,sales_dataset!I:J,2,0)</f>
        <v>Illinois</v>
      </c>
      <c r="C672" t="str">
        <f>VLOOKUP(A672,sales_dataset!I:K,3,0)</f>
        <v>Springfield</v>
      </c>
      <c r="D672" t="str">
        <f>IFERROR(_xlfn.XLOOKUP(A672,sales_dataset!I:I,sales_dataset!G:G),"Not Found")</f>
        <v>COD</v>
      </c>
    </row>
    <row r="673" spans="1:4">
      <c r="A673" s="4" t="s">
        <v>517</v>
      </c>
      <c r="B673" t="str">
        <f>VLOOKUP(A673,sales_dataset!I:J,2,0)</f>
        <v>Texas</v>
      </c>
      <c r="C673" t="str">
        <f>VLOOKUP(A673,sales_dataset!I:K,3,0)</f>
        <v>Dallas</v>
      </c>
      <c r="D673" t="str">
        <f>IFERROR(_xlfn.XLOOKUP(A673,sales_dataset!I:I,sales_dataset!G:G),"Not Found")</f>
        <v>COD</v>
      </c>
    </row>
    <row r="674" spans="1:4">
      <c r="A674" s="4" t="s">
        <v>265</v>
      </c>
      <c r="B674" t="str">
        <f>VLOOKUP(A674,sales_dataset!I:J,2,0)</f>
        <v>New York</v>
      </c>
      <c r="C674" t="str">
        <f>VLOOKUP(A674,sales_dataset!I:K,3,0)</f>
        <v>Rochester</v>
      </c>
      <c r="D674" t="str">
        <f>IFERROR(_xlfn.XLOOKUP(A674,sales_dataset!I:I,sales_dataset!G:G),"Not Found")</f>
        <v>COD</v>
      </c>
    </row>
    <row r="675" spans="1:4">
      <c r="A675" s="4" t="s">
        <v>495</v>
      </c>
      <c r="B675" t="str">
        <f>VLOOKUP(A675,sales_dataset!I:J,2,0)</f>
        <v>Florida</v>
      </c>
      <c r="C675" t="str">
        <f>VLOOKUP(A675,sales_dataset!I:K,3,0)</f>
        <v>Orlando</v>
      </c>
      <c r="D675" t="str">
        <f>IFERROR(_xlfn.XLOOKUP(A675,sales_dataset!I:I,sales_dataset!G:G),"Not Found")</f>
        <v>COD</v>
      </c>
    </row>
    <row r="676" spans="1:4">
      <c r="A676" s="6" t="s">
        <v>496</v>
      </c>
      <c r="B676" t="str">
        <f>VLOOKUP(A676,sales_dataset!I:J,2,0)</f>
        <v>Texas</v>
      </c>
      <c r="C676" t="str">
        <f>VLOOKUP(A676,sales_dataset!I:K,3,0)</f>
        <v>Houston</v>
      </c>
      <c r="D676" t="str">
        <f>IFERROR(_xlfn.XLOOKUP(A676,sales_dataset!I:I,sales_dataset!G:G),"Not Found")</f>
        <v>COD</v>
      </c>
    </row>
    <row r="677" spans="1:4">
      <c r="A677" s="6" t="s">
        <v>456</v>
      </c>
      <c r="B677" t="str">
        <f>VLOOKUP(A677,sales_dataset!I:J,2,0)</f>
        <v>Ohio</v>
      </c>
      <c r="C677" t="str">
        <f>VLOOKUP(A677,sales_dataset!I:K,3,0)</f>
        <v>Columbus</v>
      </c>
      <c r="D677" t="str">
        <f>IFERROR(_xlfn.XLOOKUP(A677,sales_dataset!I:I,sales_dataset!G:G),"Not Found")</f>
        <v>Credit Card</v>
      </c>
    </row>
    <row r="678" spans="1:4">
      <c r="A678" s="4" t="s">
        <v>1014</v>
      </c>
      <c r="B678" t="str">
        <f>VLOOKUP(A678,sales_dataset!I:J,2,0)</f>
        <v>New York</v>
      </c>
      <c r="C678" t="str">
        <f>VLOOKUP(A678,sales_dataset!I:K,3,0)</f>
        <v>New York City</v>
      </c>
      <c r="D678" t="str">
        <f>IFERROR(_xlfn.XLOOKUP(A678,sales_dataset!I:I,sales_dataset!G:G),"Not Found")</f>
        <v>EMI</v>
      </c>
    </row>
    <row r="679" spans="1:4">
      <c r="A679" s="6" t="s">
        <v>1305</v>
      </c>
      <c r="B679" t="str">
        <f>VLOOKUP(A679,sales_dataset!I:J,2,0)</f>
        <v>New York</v>
      </c>
      <c r="C679" t="str">
        <f>VLOOKUP(A679,sales_dataset!I:K,3,0)</f>
        <v>Buffalo</v>
      </c>
      <c r="D679" t="str">
        <f>IFERROR(_xlfn.XLOOKUP(A679,sales_dataset!I:I,sales_dataset!G:G),"Not Found")</f>
        <v>Debit Card</v>
      </c>
    </row>
    <row r="680" spans="1:4">
      <c r="A680" s="4" t="s">
        <v>285</v>
      </c>
      <c r="B680" t="str">
        <f>VLOOKUP(A680,sales_dataset!I:J,2,0)</f>
        <v>California</v>
      </c>
      <c r="C680" t="str">
        <f>VLOOKUP(A680,sales_dataset!I:K,3,0)</f>
        <v>San Francisco</v>
      </c>
      <c r="D680" t="str">
        <f>IFERROR(_xlfn.XLOOKUP(A680,sales_dataset!I:I,sales_dataset!G:G),"Not Found")</f>
        <v>UPI</v>
      </c>
    </row>
    <row r="681" spans="1:4">
      <c r="A681" s="6" t="s">
        <v>1308</v>
      </c>
      <c r="B681" t="str">
        <f>VLOOKUP(A681,sales_dataset!I:J,2,0)</f>
        <v>Illinois</v>
      </c>
      <c r="C681" t="str">
        <f>VLOOKUP(A681,sales_dataset!I:K,3,0)</f>
        <v>Peoria</v>
      </c>
      <c r="D681" t="str">
        <f>IFERROR(_xlfn.XLOOKUP(A681,sales_dataset!I:I,sales_dataset!G:G),"Not Found")</f>
        <v>UPI</v>
      </c>
    </row>
    <row r="682" spans="1:4">
      <c r="A682" s="6" t="s">
        <v>1310</v>
      </c>
      <c r="B682" t="str">
        <f>VLOOKUP(A682,sales_dataset!I:J,2,0)</f>
        <v>Illinois</v>
      </c>
      <c r="C682" t="str">
        <f>VLOOKUP(A682,sales_dataset!I:K,3,0)</f>
        <v>Peoria</v>
      </c>
      <c r="D682" t="str">
        <f>IFERROR(_xlfn.XLOOKUP(A682,sales_dataset!I:I,sales_dataset!G:G),"Not Found")</f>
        <v>Credit Card</v>
      </c>
    </row>
    <row r="683" spans="1:4">
      <c r="A683" s="4" t="s">
        <v>1311</v>
      </c>
      <c r="B683" t="str">
        <f>VLOOKUP(A683,sales_dataset!I:J,2,0)</f>
        <v>Texas</v>
      </c>
      <c r="C683" t="str">
        <f>VLOOKUP(A683,sales_dataset!I:K,3,0)</f>
        <v>Austin</v>
      </c>
      <c r="D683" t="str">
        <f>IFERROR(_xlfn.XLOOKUP(A683,sales_dataset!I:I,sales_dataset!G:G),"Not Found")</f>
        <v>Credit Card</v>
      </c>
    </row>
    <row r="684" spans="1:4">
      <c r="A684" s="6" t="s">
        <v>872</v>
      </c>
      <c r="B684" t="str">
        <f>VLOOKUP(A684,sales_dataset!I:J,2,0)</f>
        <v>Ohio</v>
      </c>
      <c r="C684" t="str">
        <f>VLOOKUP(A684,sales_dataset!I:K,3,0)</f>
        <v>Cleveland</v>
      </c>
      <c r="D684" t="str">
        <f>IFERROR(_xlfn.XLOOKUP(A684,sales_dataset!I:I,sales_dataset!G:G),"Not Found")</f>
        <v>EMI</v>
      </c>
    </row>
    <row r="685" spans="1:4">
      <c r="A685" s="4" t="s">
        <v>617</v>
      </c>
      <c r="B685" t="str">
        <f>VLOOKUP(A685,sales_dataset!I:J,2,0)</f>
        <v>New York</v>
      </c>
      <c r="C685" t="str">
        <f>VLOOKUP(A685,sales_dataset!I:K,3,0)</f>
        <v>Rochester</v>
      </c>
      <c r="D685" t="str">
        <f>IFERROR(_xlfn.XLOOKUP(A685,sales_dataset!I:I,sales_dataset!G:G),"Not Found")</f>
        <v>EMI</v>
      </c>
    </row>
    <row r="686" spans="1:4">
      <c r="A686" s="4" t="s">
        <v>946</v>
      </c>
      <c r="B686" t="str">
        <f>VLOOKUP(A686,sales_dataset!I:J,2,0)</f>
        <v>Texas</v>
      </c>
      <c r="C686" t="str">
        <f>VLOOKUP(A686,sales_dataset!I:K,3,0)</f>
        <v>Dallas</v>
      </c>
      <c r="D686" t="str">
        <f>IFERROR(_xlfn.XLOOKUP(A686,sales_dataset!I:I,sales_dataset!G:G),"Not Found")</f>
        <v>Credit Card</v>
      </c>
    </row>
    <row r="687" spans="1:4">
      <c r="A687" s="6" t="s">
        <v>948</v>
      </c>
      <c r="B687" t="str">
        <f>VLOOKUP(A687,sales_dataset!I:J,2,0)</f>
        <v>California</v>
      </c>
      <c r="C687" t="str">
        <f>VLOOKUP(A687,sales_dataset!I:K,3,0)</f>
        <v>San Francisco</v>
      </c>
      <c r="D687" t="str">
        <f>IFERROR(_xlfn.XLOOKUP(A687,sales_dataset!I:I,sales_dataset!G:G),"Not Found")</f>
        <v>Credit Card</v>
      </c>
    </row>
    <row r="688" spans="1:4">
      <c r="A688" s="4" t="s">
        <v>1315</v>
      </c>
      <c r="B688" t="str">
        <f>VLOOKUP(A688,sales_dataset!I:J,2,0)</f>
        <v>Florida</v>
      </c>
      <c r="C688" t="str">
        <f>VLOOKUP(A688,sales_dataset!I:K,3,0)</f>
        <v>Tampa</v>
      </c>
      <c r="D688" t="str">
        <f>IFERROR(_xlfn.XLOOKUP(A688,sales_dataset!I:I,sales_dataset!G:G),"Not Found")</f>
        <v>COD</v>
      </c>
    </row>
    <row r="689" spans="1:4">
      <c r="A689" s="4" t="s">
        <v>1317</v>
      </c>
      <c r="B689" t="str">
        <f>VLOOKUP(A689,sales_dataset!I:J,2,0)</f>
        <v>New York</v>
      </c>
      <c r="C689" t="str">
        <f>VLOOKUP(A689,sales_dataset!I:K,3,0)</f>
        <v>Buffalo</v>
      </c>
      <c r="D689" t="str">
        <f>IFERROR(_xlfn.XLOOKUP(A689,sales_dataset!I:I,sales_dataset!G:G),"Not Found")</f>
        <v>Debit Card</v>
      </c>
    </row>
    <row r="690" spans="1:4">
      <c r="A690" s="6" t="s">
        <v>1091</v>
      </c>
      <c r="B690" t="str">
        <f>VLOOKUP(A690,sales_dataset!I:J,2,0)</f>
        <v>New York</v>
      </c>
      <c r="C690" t="str">
        <f>VLOOKUP(A690,sales_dataset!I:K,3,0)</f>
        <v>New York City</v>
      </c>
      <c r="D690" t="str">
        <f>IFERROR(_xlfn.XLOOKUP(A690,sales_dataset!I:I,sales_dataset!G:G),"Not Found")</f>
        <v>EMI</v>
      </c>
    </row>
    <row r="691" spans="1:4">
      <c r="A691" s="4" t="s">
        <v>1092</v>
      </c>
      <c r="B691" t="str">
        <f>VLOOKUP(A691,sales_dataset!I:J,2,0)</f>
        <v>Illinois</v>
      </c>
      <c r="C691" t="str">
        <f>VLOOKUP(A691,sales_dataset!I:K,3,0)</f>
        <v>Springfield</v>
      </c>
      <c r="D691" t="str">
        <f>IFERROR(_xlfn.XLOOKUP(A691,sales_dataset!I:I,sales_dataset!G:G),"Not Found")</f>
        <v>EMI</v>
      </c>
    </row>
    <row r="692" spans="1:4">
      <c r="A692" s="6" t="s">
        <v>1319</v>
      </c>
      <c r="B692" t="str">
        <f>VLOOKUP(A692,sales_dataset!I:J,2,0)</f>
        <v>New York</v>
      </c>
      <c r="C692" t="str">
        <f>VLOOKUP(A692,sales_dataset!I:K,3,0)</f>
        <v>Buffalo</v>
      </c>
      <c r="D692" t="str">
        <f>IFERROR(_xlfn.XLOOKUP(A692,sales_dataset!I:I,sales_dataset!G:G),"Not Found")</f>
        <v>Debit Card</v>
      </c>
    </row>
    <row r="693" spans="1:4">
      <c r="A693" s="6" t="s">
        <v>1322</v>
      </c>
      <c r="B693" t="str">
        <f>VLOOKUP(A693,sales_dataset!I:J,2,0)</f>
        <v>Illinois</v>
      </c>
      <c r="C693" t="str">
        <f>VLOOKUP(A693,sales_dataset!I:K,3,0)</f>
        <v>Springfield</v>
      </c>
      <c r="D693" t="str">
        <f>IFERROR(_xlfn.XLOOKUP(A693,sales_dataset!I:I,sales_dataset!G:G),"Not Found")</f>
        <v>EMI</v>
      </c>
    </row>
    <row r="694" spans="1:4">
      <c r="A694" s="4" t="s">
        <v>1323</v>
      </c>
      <c r="B694" t="str">
        <f>VLOOKUP(A694,sales_dataset!I:J,2,0)</f>
        <v>Illinois</v>
      </c>
      <c r="C694" t="str">
        <f>VLOOKUP(A694,sales_dataset!I:K,3,0)</f>
        <v>Peoria</v>
      </c>
      <c r="D694" t="str">
        <f>IFERROR(_xlfn.XLOOKUP(A694,sales_dataset!I:I,sales_dataset!G:G),"Not Found")</f>
        <v>EMI</v>
      </c>
    </row>
    <row r="695" spans="1:4">
      <c r="A695" s="6" t="s">
        <v>1325</v>
      </c>
      <c r="B695" t="str">
        <f>VLOOKUP(A695,sales_dataset!I:J,2,0)</f>
        <v>Ohio</v>
      </c>
      <c r="C695" t="str">
        <f>VLOOKUP(A695,sales_dataset!I:K,3,0)</f>
        <v>Columbus</v>
      </c>
      <c r="D695" t="str">
        <f>IFERROR(_xlfn.XLOOKUP(A695,sales_dataset!I:I,sales_dataset!G:G),"Not Found")</f>
        <v>Debit Card</v>
      </c>
    </row>
    <row r="696" spans="1:4">
      <c r="A696" s="4" t="s">
        <v>1328</v>
      </c>
      <c r="B696" t="str">
        <f>VLOOKUP(A696,sales_dataset!I:J,2,0)</f>
        <v>Texas</v>
      </c>
      <c r="C696" t="str">
        <f>VLOOKUP(A696,sales_dataset!I:K,3,0)</f>
        <v>Austin</v>
      </c>
      <c r="D696" t="str">
        <f>IFERROR(_xlfn.XLOOKUP(A696,sales_dataset!I:I,sales_dataset!G:G),"Not Found")</f>
        <v>EMI</v>
      </c>
    </row>
    <row r="697" spans="1:4">
      <c r="A697" s="6" t="s">
        <v>1331</v>
      </c>
      <c r="B697" t="str">
        <f>VLOOKUP(A697,sales_dataset!I:J,2,0)</f>
        <v>Illinois</v>
      </c>
      <c r="C697" t="str">
        <f>VLOOKUP(A697,sales_dataset!I:K,3,0)</f>
        <v>Peoria</v>
      </c>
      <c r="D697" t="str">
        <f>IFERROR(_xlfn.XLOOKUP(A697,sales_dataset!I:I,sales_dataset!G:G),"Not Found")</f>
        <v>COD</v>
      </c>
    </row>
    <row r="698" spans="1:4">
      <c r="A698" s="4" t="s">
        <v>1332</v>
      </c>
      <c r="B698" t="str">
        <f>VLOOKUP(A698,sales_dataset!I:J,2,0)</f>
        <v>New York</v>
      </c>
      <c r="C698" t="str">
        <f>VLOOKUP(A698,sales_dataset!I:K,3,0)</f>
        <v>Rochester</v>
      </c>
      <c r="D698" t="str">
        <f>IFERROR(_xlfn.XLOOKUP(A698,sales_dataset!I:I,sales_dataset!G:G),"Not Found")</f>
        <v>COD</v>
      </c>
    </row>
    <row r="699" spans="1:4">
      <c r="A699" s="6" t="s">
        <v>1333</v>
      </c>
      <c r="B699" t="str">
        <f>VLOOKUP(A699,sales_dataset!I:J,2,0)</f>
        <v>Florida</v>
      </c>
      <c r="C699" t="str">
        <f>VLOOKUP(A699,sales_dataset!I:K,3,0)</f>
        <v>Tampa</v>
      </c>
      <c r="D699" t="str">
        <f>IFERROR(_xlfn.XLOOKUP(A699,sales_dataset!I:I,sales_dataset!G:G),"Not Found")</f>
        <v>COD</v>
      </c>
    </row>
    <row r="700" spans="1:4">
      <c r="A700" s="4" t="s">
        <v>1334</v>
      </c>
      <c r="B700" t="str">
        <f>VLOOKUP(A700,sales_dataset!I:J,2,0)</f>
        <v>Texas</v>
      </c>
      <c r="C700" t="str">
        <f>VLOOKUP(A700,sales_dataset!I:K,3,0)</f>
        <v>Houston</v>
      </c>
      <c r="D700" t="str">
        <f>IFERROR(_xlfn.XLOOKUP(A700,sales_dataset!I:I,sales_dataset!G:G),"Not Found")</f>
        <v>COD</v>
      </c>
    </row>
    <row r="701" spans="1:4">
      <c r="A701" s="4" t="s">
        <v>830</v>
      </c>
      <c r="B701" t="str">
        <f>VLOOKUP(A701,sales_dataset!I:J,2,0)</f>
        <v>New York</v>
      </c>
      <c r="C701" t="str">
        <f>VLOOKUP(A701,sales_dataset!I:K,3,0)</f>
        <v>Buffalo</v>
      </c>
      <c r="D701" t="str">
        <f>IFERROR(_xlfn.XLOOKUP(A701,sales_dataset!I:I,sales_dataset!G:G),"Not Found")</f>
        <v>UPI</v>
      </c>
    </row>
    <row r="702" spans="1:4">
      <c r="A702" s="6" t="s">
        <v>832</v>
      </c>
      <c r="B702" t="str">
        <f>VLOOKUP(A702,sales_dataset!I:J,2,0)</f>
        <v>Florida</v>
      </c>
      <c r="C702" t="str">
        <f>VLOOKUP(A702,sales_dataset!I:K,3,0)</f>
        <v>Tampa</v>
      </c>
      <c r="D702" t="str">
        <f>IFERROR(_xlfn.XLOOKUP(A702,sales_dataset!I:I,sales_dataset!G:G),"Not Found")</f>
        <v>UPI</v>
      </c>
    </row>
    <row r="703" spans="1:4">
      <c r="A703" s="6" t="s">
        <v>1337</v>
      </c>
      <c r="B703" t="str">
        <f>VLOOKUP(A703,sales_dataset!I:J,2,0)</f>
        <v>Illinois</v>
      </c>
      <c r="C703" t="str">
        <f>VLOOKUP(A703,sales_dataset!I:K,3,0)</f>
        <v>Springfield</v>
      </c>
      <c r="D703" t="str">
        <f>IFERROR(_xlfn.XLOOKUP(A703,sales_dataset!I:I,sales_dataset!G:G),"Not Found")</f>
        <v>Debit Card</v>
      </c>
    </row>
    <row r="704" spans="1:4">
      <c r="A704" s="4" t="s">
        <v>1339</v>
      </c>
      <c r="B704" t="str">
        <f>VLOOKUP(A704,sales_dataset!I:J,2,0)</f>
        <v>Ohio</v>
      </c>
      <c r="C704" t="str">
        <f>VLOOKUP(A704,sales_dataset!I:K,3,0)</f>
        <v>Cleveland</v>
      </c>
      <c r="D704" t="str">
        <f>IFERROR(_xlfn.XLOOKUP(A704,sales_dataset!I:I,sales_dataset!G:G),"Not Found")</f>
        <v>EMI</v>
      </c>
    </row>
    <row r="705" spans="1:4">
      <c r="A705" s="6" t="s">
        <v>1341</v>
      </c>
      <c r="B705" t="str">
        <f>VLOOKUP(A705,sales_dataset!I:J,2,0)</f>
        <v>Florida</v>
      </c>
      <c r="C705" t="str">
        <f>VLOOKUP(A705,sales_dataset!I:K,3,0)</f>
        <v>Orlando</v>
      </c>
      <c r="D705" t="str">
        <f>IFERROR(_xlfn.XLOOKUP(A705,sales_dataset!I:I,sales_dataset!G:G),"Not Found")</f>
        <v>EMI</v>
      </c>
    </row>
    <row r="706" spans="1:4">
      <c r="A706" s="4" t="s">
        <v>1342</v>
      </c>
      <c r="B706" t="str">
        <f>VLOOKUP(A706,sales_dataset!I:J,2,0)</f>
        <v>Illinois</v>
      </c>
      <c r="C706" t="str">
        <f>VLOOKUP(A706,sales_dataset!I:K,3,0)</f>
        <v>Springfield</v>
      </c>
      <c r="D706" t="str">
        <f>IFERROR(_xlfn.XLOOKUP(A706,sales_dataset!I:I,sales_dataset!G:G),"Not Found")</f>
        <v>EMI</v>
      </c>
    </row>
    <row r="707" spans="1:4">
      <c r="A707" s="4" t="s">
        <v>1344</v>
      </c>
      <c r="B707" t="str">
        <f>VLOOKUP(A707,sales_dataset!I:J,2,0)</f>
        <v>Texas</v>
      </c>
      <c r="C707" t="str">
        <f>VLOOKUP(A707,sales_dataset!I:K,3,0)</f>
        <v>Dallas</v>
      </c>
      <c r="D707" t="str">
        <f>IFERROR(_xlfn.XLOOKUP(A707,sales_dataset!I:I,sales_dataset!G:G),"Not Found")</f>
        <v>COD</v>
      </c>
    </row>
    <row r="708" spans="1:4">
      <c r="A708" s="6" t="s">
        <v>1149</v>
      </c>
      <c r="B708" t="str">
        <f>VLOOKUP(A708,sales_dataset!I:J,2,0)</f>
        <v>California</v>
      </c>
      <c r="C708" t="str">
        <f>VLOOKUP(A708,sales_dataset!I:K,3,0)</f>
        <v>San Diego</v>
      </c>
      <c r="D708" t="str">
        <f>IFERROR(_xlfn.XLOOKUP(A708,sales_dataset!I:I,sales_dataset!G:G),"Not Found")</f>
        <v>UPI</v>
      </c>
    </row>
    <row r="709" spans="1:4">
      <c r="A709" s="6" t="s">
        <v>1346</v>
      </c>
      <c r="B709" t="str">
        <f>VLOOKUP(A709,sales_dataset!I:J,2,0)</f>
        <v>Illinois</v>
      </c>
      <c r="C709" t="str">
        <f>VLOOKUP(A709,sales_dataset!I:K,3,0)</f>
        <v>Springfield</v>
      </c>
      <c r="D709" t="str">
        <f>IFERROR(_xlfn.XLOOKUP(A709,sales_dataset!I:I,sales_dataset!G:G),"Not Found")</f>
        <v>COD</v>
      </c>
    </row>
    <row r="710" spans="1:4">
      <c r="A710" s="4" t="s">
        <v>1348</v>
      </c>
      <c r="B710" t="str">
        <f>VLOOKUP(A710,sales_dataset!I:J,2,0)</f>
        <v>Ohio</v>
      </c>
      <c r="C710" t="str">
        <f>VLOOKUP(A710,sales_dataset!I:K,3,0)</f>
        <v>Cleveland</v>
      </c>
      <c r="D710" t="str">
        <f>IFERROR(_xlfn.XLOOKUP(A710,sales_dataset!I:I,sales_dataset!G:G),"Not Found")</f>
        <v>COD</v>
      </c>
    </row>
    <row r="711" spans="1:4">
      <c r="A711" s="6" t="s">
        <v>1349</v>
      </c>
      <c r="B711" t="str">
        <f>VLOOKUP(A711,sales_dataset!I:J,2,0)</f>
        <v>Florida</v>
      </c>
      <c r="C711" t="str">
        <f>VLOOKUP(A711,sales_dataset!I:K,3,0)</f>
        <v>Orlando</v>
      </c>
      <c r="D711" t="str">
        <f>IFERROR(_xlfn.XLOOKUP(A711,sales_dataset!I:I,sales_dataset!G:G),"Not Found")</f>
        <v>COD</v>
      </c>
    </row>
    <row r="712" spans="1:4">
      <c r="A712" s="4" t="s">
        <v>1351</v>
      </c>
      <c r="B712" t="str">
        <f>VLOOKUP(A712,sales_dataset!I:J,2,0)</f>
        <v>California</v>
      </c>
      <c r="C712" t="str">
        <f>VLOOKUP(A712,sales_dataset!I:K,3,0)</f>
        <v>San Francisco</v>
      </c>
      <c r="D712" t="str">
        <f>IFERROR(_xlfn.XLOOKUP(A712,sales_dataset!I:I,sales_dataset!G:G),"Not Found")</f>
        <v>EMI</v>
      </c>
    </row>
    <row r="713" spans="1:4">
      <c r="A713" s="6" t="s">
        <v>1353</v>
      </c>
      <c r="B713" t="str">
        <f>VLOOKUP(A713,sales_dataset!I:J,2,0)</f>
        <v>Texas</v>
      </c>
      <c r="C713" t="str">
        <f>VLOOKUP(A713,sales_dataset!I:K,3,0)</f>
        <v>Houston</v>
      </c>
      <c r="D713" t="str">
        <f>IFERROR(_xlfn.XLOOKUP(A713,sales_dataset!I:I,sales_dataset!G:G),"Not Found")</f>
        <v>EMI</v>
      </c>
    </row>
    <row r="714" spans="1:4">
      <c r="A714" s="6" t="s">
        <v>1355</v>
      </c>
      <c r="B714" t="str">
        <f>VLOOKUP(A714,sales_dataset!I:J,2,0)</f>
        <v>California</v>
      </c>
      <c r="C714" t="str">
        <f>VLOOKUP(A714,sales_dataset!I:K,3,0)</f>
        <v>Los Angeles</v>
      </c>
      <c r="D714" t="str">
        <f>IFERROR(_xlfn.XLOOKUP(A714,sales_dataset!I:I,sales_dataset!G:G),"Not Found")</f>
        <v>UPI</v>
      </c>
    </row>
    <row r="715" spans="1:4">
      <c r="A715" s="4" t="s">
        <v>1356</v>
      </c>
      <c r="B715" t="str">
        <f>VLOOKUP(A715,sales_dataset!I:J,2,0)</f>
        <v>Illinois</v>
      </c>
      <c r="C715" t="str">
        <f>VLOOKUP(A715,sales_dataset!I:K,3,0)</f>
        <v>Springfield</v>
      </c>
      <c r="D715" t="str">
        <f>IFERROR(_xlfn.XLOOKUP(A715,sales_dataset!I:I,sales_dataset!G:G),"Not Found")</f>
        <v>UPI</v>
      </c>
    </row>
    <row r="716" spans="1:4">
      <c r="A716" s="4" t="s">
        <v>1273</v>
      </c>
      <c r="B716" t="str">
        <f>VLOOKUP(A716,sales_dataset!I:J,2,0)</f>
        <v>Florida</v>
      </c>
      <c r="C716" t="str">
        <f>VLOOKUP(A716,sales_dataset!I:K,3,0)</f>
        <v>Orlando</v>
      </c>
      <c r="D716" t="str">
        <f>IFERROR(_xlfn.XLOOKUP(A716,sales_dataset!I:I,sales_dataset!G:G),"Not Found")</f>
        <v>UPI</v>
      </c>
    </row>
    <row r="717" spans="1:4">
      <c r="A717" s="6" t="s">
        <v>1358</v>
      </c>
      <c r="B717" t="str">
        <f>VLOOKUP(A717,sales_dataset!I:J,2,0)</f>
        <v>New York</v>
      </c>
      <c r="C717" t="str">
        <f>VLOOKUP(A717,sales_dataset!I:K,3,0)</f>
        <v>New York City</v>
      </c>
      <c r="D717" t="str">
        <f>IFERROR(_xlfn.XLOOKUP(A717,sales_dataset!I:I,sales_dataset!G:G),"Not Found")</f>
        <v>UPI</v>
      </c>
    </row>
    <row r="718" spans="1:4">
      <c r="A718" s="6" t="s">
        <v>325</v>
      </c>
      <c r="B718" t="str">
        <f>VLOOKUP(A718,sales_dataset!I:J,2,0)</f>
        <v>New York</v>
      </c>
      <c r="C718" t="str">
        <f>VLOOKUP(A718,sales_dataset!I:K,3,0)</f>
        <v>Rochester</v>
      </c>
      <c r="D718" t="str">
        <f>IFERROR(_xlfn.XLOOKUP(A718,sales_dataset!I:I,sales_dataset!G:G),"Not Found")</f>
        <v>UPI</v>
      </c>
    </row>
    <row r="719" spans="1:4">
      <c r="A719" s="6" t="s">
        <v>750</v>
      </c>
      <c r="B719" t="str">
        <f>VLOOKUP(A719,sales_dataset!I:J,2,0)</f>
        <v>California</v>
      </c>
      <c r="C719" t="str">
        <f>VLOOKUP(A719,sales_dataset!I:K,3,0)</f>
        <v>San Diego</v>
      </c>
      <c r="D719" t="str">
        <f>IFERROR(_xlfn.XLOOKUP(A719,sales_dataset!I:I,sales_dataset!G:G),"Not Found")</f>
        <v>UPI</v>
      </c>
    </row>
    <row r="720" spans="1:4">
      <c r="A720" s="6" t="s">
        <v>1360</v>
      </c>
      <c r="B720" t="str">
        <f>VLOOKUP(A720,sales_dataset!I:J,2,0)</f>
        <v>California</v>
      </c>
      <c r="C720" t="str">
        <f>VLOOKUP(A720,sales_dataset!I:K,3,0)</f>
        <v>San Diego</v>
      </c>
      <c r="D720" t="str">
        <f>IFERROR(_xlfn.XLOOKUP(A720,sales_dataset!I:I,sales_dataset!G:G),"Not Found")</f>
        <v>Credit Card</v>
      </c>
    </row>
    <row r="721" spans="1:4">
      <c r="A721" s="6" t="s">
        <v>1241</v>
      </c>
      <c r="B721" t="str">
        <f>VLOOKUP(A721,sales_dataset!I:J,2,0)</f>
        <v>California</v>
      </c>
      <c r="C721" t="str">
        <f>VLOOKUP(A721,sales_dataset!I:K,3,0)</f>
        <v>San Diego</v>
      </c>
      <c r="D721" t="str">
        <f>IFERROR(_xlfn.XLOOKUP(A721,sales_dataset!I:I,sales_dataset!G:G),"Not Found")</f>
        <v>Credit Card</v>
      </c>
    </row>
    <row r="722" spans="1:4">
      <c r="A722" s="4" t="s">
        <v>1242</v>
      </c>
      <c r="B722" t="str">
        <f>VLOOKUP(A722,sales_dataset!I:J,2,0)</f>
        <v>Ohio</v>
      </c>
      <c r="C722" t="str">
        <f>VLOOKUP(A722,sales_dataset!I:K,3,0)</f>
        <v>Cincinnati</v>
      </c>
      <c r="D722" t="str">
        <f>IFERROR(_xlfn.XLOOKUP(A722,sales_dataset!I:I,sales_dataset!G:G),"Not Found")</f>
        <v>Credit Card</v>
      </c>
    </row>
    <row r="723" spans="1:4">
      <c r="A723" s="4" t="s">
        <v>822</v>
      </c>
      <c r="B723" t="str">
        <f>VLOOKUP(A723,sales_dataset!I:J,2,0)</f>
        <v>California</v>
      </c>
      <c r="C723" t="str">
        <f>VLOOKUP(A723,sales_dataset!I:K,3,0)</f>
        <v>Los Angeles</v>
      </c>
      <c r="D723" t="str">
        <f>IFERROR(_xlfn.XLOOKUP(A723,sales_dataset!I:I,sales_dataset!G:G),"Not Found")</f>
        <v>COD</v>
      </c>
    </row>
    <row r="724" spans="1:4">
      <c r="A724" s="4" t="s">
        <v>1362</v>
      </c>
      <c r="B724" t="str">
        <f>VLOOKUP(A724,sales_dataset!I:J,2,0)</f>
        <v>California</v>
      </c>
      <c r="C724" t="str">
        <f>VLOOKUP(A724,sales_dataset!I:K,3,0)</f>
        <v>San Francisco</v>
      </c>
      <c r="D724" t="str">
        <f>IFERROR(_xlfn.XLOOKUP(A724,sales_dataset!I:I,sales_dataset!G:G),"Not Found")</f>
        <v>EMI</v>
      </c>
    </row>
    <row r="725" spans="1:4">
      <c r="A725" s="4" t="s">
        <v>1365</v>
      </c>
      <c r="B725" t="str">
        <f>VLOOKUP(A725,sales_dataset!I:J,2,0)</f>
        <v>Florida</v>
      </c>
      <c r="C725" t="str">
        <f>VLOOKUP(A725,sales_dataset!I:K,3,0)</f>
        <v>Tampa</v>
      </c>
      <c r="D725" t="str">
        <f>IFERROR(_xlfn.XLOOKUP(A725,sales_dataset!I:I,sales_dataset!G:G),"Not Found")</f>
        <v>EMI</v>
      </c>
    </row>
    <row r="726" spans="1:4">
      <c r="A726" s="4" t="s">
        <v>1368</v>
      </c>
      <c r="B726" t="str">
        <f>VLOOKUP(A726,sales_dataset!I:J,2,0)</f>
        <v>New York</v>
      </c>
      <c r="C726" t="str">
        <f>VLOOKUP(A726,sales_dataset!I:K,3,0)</f>
        <v>New York City</v>
      </c>
      <c r="D726" t="str">
        <f>IFERROR(_xlfn.XLOOKUP(A726,sales_dataset!I:I,sales_dataset!G:G),"Not Found")</f>
        <v>COD</v>
      </c>
    </row>
    <row r="727" spans="1:4">
      <c r="A727" s="4" t="s">
        <v>1370</v>
      </c>
      <c r="B727" t="str">
        <f>VLOOKUP(A727,sales_dataset!I:J,2,0)</f>
        <v>California</v>
      </c>
      <c r="C727" t="str">
        <f>VLOOKUP(A727,sales_dataset!I:K,3,0)</f>
        <v>San Francisco</v>
      </c>
      <c r="D727" t="str">
        <f>IFERROR(_xlfn.XLOOKUP(A727,sales_dataset!I:I,sales_dataset!G:G),"Not Found")</f>
        <v>Debit Card</v>
      </c>
    </row>
    <row r="728" spans="1:4">
      <c r="A728" s="6" t="s">
        <v>1371</v>
      </c>
      <c r="B728" t="str">
        <f>VLOOKUP(A728,sales_dataset!I:J,2,0)</f>
        <v>New York</v>
      </c>
      <c r="C728" t="str">
        <f>VLOOKUP(A728,sales_dataset!I:K,3,0)</f>
        <v>New York City</v>
      </c>
      <c r="D728" t="str">
        <f>IFERROR(_xlfn.XLOOKUP(A728,sales_dataset!I:I,sales_dataset!G:G),"Not Found")</f>
        <v>Debit Card</v>
      </c>
    </row>
    <row r="729" spans="1:4">
      <c r="A729" s="4" t="s">
        <v>1373</v>
      </c>
      <c r="B729" t="str">
        <f>VLOOKUP(A729,sales_dataset!I:J,2,0)</f>
        <v>Ohio</v>
      </c>
      <c r="C729" t="str">
        <f>VLOOKUP(A729,sales_dataset!I:K,3,0)</f>
        <v>Columbus</v>
      </c>
      <c r="D729" t="str">
        <f>IFERROR(_xlfn.XLOOKUP(A729,sales_dataset!I:I,sales_dataset!G:G),"Not Found")</f>
        <v>COD</v>
      </c>
    </row>
    <row r="730" spans="1:4">
      <c r="A730" s="6" t="s">
        <v>1374</v>
      </c>
      <c r="B730" t="str">
        <f>VLOOKUP(A730,sales_dataset!I:J,2,0)</f>
        <v>Texas</v>
      </c>
      <c r="C730" t="str">
        <f>VLOOKUP(A730,sales_dataset!I:K,3,0)</f>
        <v>Dallas</v>
      </c>
      <c r="D730" t="str">
        <f>IFERROR(_xlfn.XLOOKUP(A730,sales_dataset!I:I,sales_dataset!G:G),"Not Found")</f>
        <v>COD</v>
      </c>
    </row>
    <row r="731" spans="1:4">
      <c r="A731" s="6" t="s">
        <v>1376</v>
      </c>
      <c r="B731" t="str">
        <f>VLOOKUP(A731,sales_dataset!I:J,2,0)</f>
        <v>New York</v>
      </c>
      <c r="C731" t="str">
        <f>VLOOKUP(A731,sales_dataset!I:K,3,0)</f>
        <v>New York City</v>
      </c>
      <c r="D731" t="str">
        <f>IFERROR(_xlfn.XLOOKUP(A731,sales_dataset!I:I,sales_dataset!G:G),"Not Found")</f>
        <v>Credit Card</v>
      </c>
    </row>
    <row r="732" spans="1:4">
      <c r="A732" s="6" t="s">
        <v>1378</v>
      </c>
      <c r="B732" t="str">
        <f>VLOOKUP(A732,sales_dataset!I:J,2,0)</f>
        <v>Florida</v>
      </c>
      <c r="C732" t="str">
        <f>VLOOKUP(A732,sales_dataset!I:K,3,0)</f>
        <v>Orlando</v>
      </c>
      <c r="D732" t="str">
        <f>IFERROR(_xlfn.XLOOKUP(A732,sales_dataset!I:I,sales_dataset!G:G),"Not Found")</f>
        <v>EMI</v>
      </c>
    </row>
    <row r="733" spans="1:4">
      <c r="A733" s="4" t="s">
        <v>1381</v>
      </c>
      <c r="B733" t="str">
        <f>VLOOKUP(A733,sales_dataset!I:J,2,0)</f>
        <v>Texas</v>
      </c>
      <c r="C733" t="str">
        <f>VLOOKUP(A733,sales_dataset!I:K,3,0)</f>
        <v>Austin</v>
      </c>
      <c r="D733" t="str">
        <f>IFERROR(_xlfn.XLOOKUP(A733,sales_dataset!I:I,sales_dataset!G:G),"Not Found")</f>
        <v>EMI</v>
      </c>
    </row>
    <row r="734" spans="1:4">
      <c r="A734" s="4" t="s">
        <v>951</v>
      </c>
      <c r="B734" t="str">
        <f>VLOOKUP(A734,sales_dataset!I:J,2,0)</f>
        <v>Florida</v>
      </c>
      <c r="C734" t="str">
        <f>VLOOKUP(A734,sales_dataset!I:K,3,0)</f>
        <v>Tampa</v>
      </c>
      <c r="D734" t="str">
        <f>IFERROR(_xlfn.XLOOKUP(A734,sales_dataset!I:I,sales_dataset!G:G),"Not Found")</f>
        <v>EMI</v>
      </c>
    </row>
    <row r="735" spans="1:4">
      <c r="A735" s="6" t="s">
        <v>953</v>
      </c>
      <c r="B735" t="str">
        <f>VLOOKUP(A735,sales_dataset!I:J,2,0)</f>
        <v>Texas</v>
      </c>
      <c r="C735" t="str">
        <f>VLOOKUP(A735,sales_dataset!I:K,3,0)</f>
        <v>Dallas</v>
      </c>
      <c r="D735" t="str">
        <f>IFERROR(_xlfn.XLOOKUP(A735,sales_dataset!I:I,sales_dataset!G:G),"Not Found")</f>
        <v>EMI</v>
      </c>
    </row>
    <row r="736" spans="1:4">
      <c r="A736" s="6" t="s">
        <v>1107</v>
      </c>
      <c r="B736" t="str">
        <f>VLOOKUP(A736,sales_dataset!I:J,2,0)</f>
        <v>Illinois</v>
      </c>
      <c r="C736" t="str">
        <f>VLOOKUP(A736,sales_dataset!I:K,3,0)</f>
        <v>Chicago</v>
      </c>
      <c r="D736" t="str">
        <f>IFERROR(_xlfn.XLOOKUP(A736,sales_dataset!I:I,sales_dataset!G:G),"Not Found")</f>
        <v>COD</v>
      </c>
    </row>
    <row r="737" spans="1:4">
      <c r="A737" s="4" t="s">
        <v>1108</v>
      </c>
      <c r="B737" t="str">
        <f>VLOOKUP(A737,sales_dataset!I:J,2,0)</f>
        <v>Texas</v>
      </c>
      <c r="C737" t="str">
        <f>VLOOKUP(A737,sales_dataset!I:K,3,0)</f>
        <v>Houston</v>
      </c>
      <c r="D737" t="str">
        <f>IFERROR(_xlfn.XLOOKUP(A737,sales_dataset!I:I,sales_dataset!G:G),"Not Found")</f>
        <v>COD</v>
      </c>
    </row>
    <row r="738" spans="1:4">
      <c r="A738" s="6" t="s">
        <v>1110</v>
      </c>
      <c r="B738" t="str">
        <f>VLOOKUP(A738,sales_dataset!I:J,2,0)</f>
        <v>Florida</v>
      </c>
      <c r="C738" t="str">
        <f>VLOOKUP(A738,sales_dataset!I:K,3,0)</f>
        <v>Miami</v>
      </c>
      <c r="D738" t="str">
        <f>IFERROR(_xlfn.XLOOKUP(A738,sales_dataset!I:I,sales_dataset!G:G),"Not Found")</f>
        <v>COD</v>
      </c>
    </row>
    <row r="739" spans="1:4">
      <c r="A739" s="6" t="s">
        <v>887</v>
      </c>
      <c r="B739" t="str">
        <f>VLOOKUP(A739,sales_dataset!I:J,2,0)</f>
        <v>California</v>
      </c>
      <c r="C739" t="str">
        <f>VLOOKUP(A739,sales_dataset!I:K,3,0)</f>
        <v>San Francisco</v>
      </c>
      <c r="D739" t="str">
        <f>IFERROR(_xlfn.XLOOKUP(A739,sales_dataset!I:I,sales_dataset!G:G),"Not Found")</f>
        <v>Credit Card</v>
      </c>
    </row>
    <row r="740" spans="1:4">
      <c r="A740" s="6" t="s">
        <v>546</v>
      </c>
      <c r="B740" t="str">
        <f>VLOOKUP(A740,sales_dataset!I:J,2,0)</f>
        <v>New York</v>
      </c>
      <c r="C740" t="str">
        <f>VLOOKUP(A740,sales_dataset!I:K,3,0)</f>
        <v>Buffalo</v>
      </c>
      <c r="D740" t="str">
        <f>IFERROR(_xlfn.XLOOKUP(A740,sales_dataset!I:I,sales_dataset!G:G),"Not Found")</f>
        <v>Credit Card</v>
      </c>
    </row>
    <row r="741" spans="1:4">
      <c r="A741" s="4" t="s">
        <v>1383</v>
      </c>
      <c r="B741" t="str">
        <f>VLOOKUP(A741,sales_dataset!I:J,2,0)</f>
        <v>Ohio</v>
      </c>
      <c r="C741" t="str">
        <f>VLOOKUP(A741,sales_dataset!I:K,3,0)</f>
        <v>Cleveland</v>
      </c>
      <c r="D741" t="str">
        <f>IFERROR(_xlfn.XLOOKUP(A741,sales_dataset!I:I,sales_dataset!G:G),"Not Found")</f>
        <v>COD</v>
      </c>
    </row>
    <row r="742" spans="1:4">
      <c r="A742" s="4" t="s">
        <v>1385</v>
      </c>
      <c r="B742" t="str">
        <f>VLOOKUP(A742,sales_dataset!I:J,2,0)</f>
        <v>California</v>
      </c>
      <c r="C742" t="str">
        <f>VLOOKUP(A742,sales_dataset!I:K,3,0)</f>
        <v>San Diego</v>
      </c>
      <c r="D742" t="str">
        <f>IFERROR(_xlfn.XLOOKUP(A742,sales_dataset!I:I,sales_dataset!G:G),"Not Found")</f>
        <v>Credit Card</v>
      </c>
    </row>
    <row r="743" spans="1:4">
      <c r="A743" s="6" t="s">
        <v>1386</v>
      </c>
      <c r="B743" t="str">
        <f>VLOOKUP(A743,sales_dataset!I:J,2,0)</f>
        <v>Texas</v>
      </c>
      <c r="C743" t="str">
        <f>VLOOKUP(A743,sales_dataset!I:K,3,0)</f>
        <v>Houston</v>
      </c>
      <c r="D743" t="str">
        <f>IFERROR(_xlfn.XLOOKUP(A743,sales_dataset!I:I,sales_dataset!G:G),"Not Found")</f>
        <v>Credit Card</v>
      </c>
    </row>
    <row r="744" spans="1:4">
      <c r="A744" s="4" t="s">
        <v>1388</v>
      </c>
      <c r="B744" t="str">
        <f>VLOOKUP(A744,sales_dataset!I:J,2,0)</f>
        <v>Ohio</v>
      </c>
      <c r="C744" t="str">
        <f>VLOOKUP(A744,sales_dataset!I:K,3,0)</f>
        <v>Columbus</v>
      </c>
      <c r="D744" t="str">
        <f>IFERROR(_xlfn.XLOOKUP(A744,sales_dataset!I:I,sales_dataset!G:G),"Not Found")</f>
        <v>UPI</v>
      </c>
    </row>
    <row r="745" spans="1:4">
      <c r="A745" s="6" t="s">
        <v>1389</v>
      </c>
      <c r="B745" t="str">
        <f>VLOOKUP(A745,sales_dataset!I:J,2,0)</f>
        <v>California</v>
      </c>
      <c r="C745" t="str">
        <f>VLOOKUP(A745,sales_dataset!I:K,3,0)</f>
        <v>San Francisco</v>
      </c>
      <c r="D745" t="str">
        <f>IFERROR(_xlfn.XLOOKUP(A745,sales_dataset!I:I,sales_dataset!G:G),"Not Found")</f>
        <v>UPI</v>
      </c>
    </row>
    <row r="746" spans="1:4">
      <c r="A746" s="6" t="s">
        <v>1391</v>
      </c>
      <c r="B746" t="str">
        <f>VLOOKUP(A746,sales_dataset!I:J,2,0)</f>
        <v>Illinois</v>
      </c>
      <c r="C746" t="str">
        <f>VLOOKUP(A746,sales_dataset!I:K,3,0)</f>
        <v>Springfield</v>
      </c>
      <c r="D746" t="str">
        <f>IFERROR(_xlfn.XLOOKUP(A746,sales_dataset!I:I,sales_dataset!G:G),"Not Found")</f>
        <v>COD</v>
      </c>
    </row>
    <row r="747" spans="1:4">
      <c r="A747" s="4" t="s">
        <v>1393</v>
      </c>
      <c r="B747" t="str">
        <f>VLOOKUP(A747,sales_dataset!I:J,2,0)</f>
        <v>California</v>
      </c>
      <c r="C747" t="str">
        <f>VLOOKUP(A747,sales_dataset!I:K,3,0)</f>
        <v>San Francisco</v>
      </c>
      <c r="D747" t="str">
        <f>IFERROR(_xlfn.XLOOKUP(A747,sales_dataset!I:I,sales_dataset!G:G),"Not Found")</f>
        <v>Debit Card</v>
      </c>
    </row>
    <row r="748" spans="1:4">
      <c r="A748" s="6" t="s">
        <v>1394</v>
      </c>
      <c r="B748" t="str">
        <f>VLOOKUP(A748,sales_dataset!I:J,2,0)</f>
        <v>Illinois</v>
      </c>
      <c r="C748" t="str">
        <f>VLOOKUP(A748,sales_dataset!I:K,3,0)</f>
        <v>Springfield</v>
      </c>
      <c r="D748" t="str">
        <f>IFERROR(_xlfn.XLOOKUP(A748,sales_dataset!I:I,sales_dataset!G:G),"Not Found")</f>
        <v>Debit Card</v>
      </c>
    </row>
    <row r="749" spans="1:4">
      <c r="A749" s="4" t="s">
        <v>1395</v>
      </c>
      <c r="B749" t="str">
        <f>VLOOKUP(A749,sales_dataset!I:J,2,0)</f>
        <v>California</v>
      </c>
      <c r="C749" t="str">
        <f>VLOOKUP(A749,sales_dataset!I:K,3,0)</f>
        <v>San Diego</v>
      </c>
      <c r="D749" t="str">
        <f>IFERROR(_xlfn.XLOOKUP(A749,sales_dataset!I:I,sales_dataset!G:G),"Not Found")</f>
        <v>Debit Card</v>
      </c>
    </row>
    <row r="750" spans="1:4">
      <c r="A750" s="4" t="s">
        <v>1398</v>
      </c>
      <c r="B750" t="str">
        <f>VLOOKUP(A750,sales_dataset!I:J,2,0)</f>
        <v>New York</v>
      </c>
      <c r="C750" t="str">
        <f>VLOOKUP(A750,sales_dataset!I:K,3,0)</f>
        <v>Rochester</v>
      </c>
      <c r="D750" t="str">
        <f>IFERROR(_xlfn.XLOOKUP(A750,sales_dataset!I:I,sales_dataset!G:G),"Not Found")</f>
        <v>Debit Card</v>
      </c>
    </row>
    <row r="751" spans="1:4">
      <c r="A751" s="6" t="s">
        <v>1399</v>
      </c>
      <c r="B751" t="str">
        <f>VLOOKUP(A751,sales_dataset!I:J,2,0)</f>
        <v>New York</v>
      </c>
      <c r="C751" t="str">
        <f>VLOOKUP(A751,sales_dataset!I:K,3,0)</f>
        <v>New York City</v>
      </c>
      <c r="D751" t="str">
        <f>IFERROR(_xlfn.XLOOKUP(A751,sales_dataset!I:I,sales_dataset!G:G),"Not Found")</f>
        <v>Debit Card</v>
      </c>
    </row>
    <row r="752" spans="1:4">
      <c r="A752" s="4" t="s">
        <v>1402</v>
      </c>
      <c r="B752" t="str">
        <f>VLOOKUP(A752,sales_dataset!I:J,2,0)</f>
        <v>Ohio</v>
      </c>
      <c r="C752" t="str">
        <f>VLOOKUP(A752,sales_dataset!I:K,3,0)</f>
        <v>Columbus</v>
      </c>
      <c r="D752" t="str">
        <f>IFERROR(_xlfn.XLOOKUP(A752,sales_dataset!I:I,sales_dataset!G:G),"Not Found")</f>
        <v>COD</v>
      </c>
    </row>
    <row r="753" spans="1:4">
      <c r="A753" s="6" t="s">
        <v>1088</v>
      </c>
      <c r="B753" t="str">
        <f>VLOOKUP(A753,sales_dataset!I:J,2,0)</f>
        <v>Illinois</v>
      </c>
      <c r="C753" t="str">
        <f>VLOOKUP(A753,sales_dataset!I:K,3,0)</f>
        <v>Chicago</v>
      </c>
      <c r="D753" t="str">
        <f>IFERROR(_xlfn.XLOOKUP(A753,sales_dataset!I:I,sales_dataset!G:G),"Not Found")</f>
        <v>Credit Card</v>
      </c>
    </row>
    <row r="754" spans="1:4">
      <c r="A754" s="6" t="s">
        <v>1404</v>
      </c>
      <c r="B754" t="str">
        <f>VLOOKUP(A754,sales_dataset!I:J,2,0)</f>
        <v>California</v>
      </c>
      <c r="C754" t="str">
        <f>VLOOKUP(A754,sales_dataset!I:K,3,0)</f>
        <v>Los Angeles</v>
      </c>
      <c r="D754" t="str">
        <f>IFERROR(_xlfn.XLOOKUP(A754,sales_dataset!I:I,sales_dataset!G:G),"Not Found")</f>
        <v>UPI</v>
      </c>
    </row>
    <row r="755" spans="1:4">
      <c r="A755" s="4" t="s">
        <v>1406</v>
      </c>
      <c r="B755" t="str">
        <f>VLOOKUP(A755,sales_dataset!I:J,2,0)</f>
        <v>Florida</v>
      </c>
      <c r="C755" t="str">
        <f>VLOOKUP(A755,sales_dataset!I:K,3,0)</f>
        <v>Orlando</v>
      </c>
      <c r="D755" t="str">
        <f>IFERROR(_xlfn.XLOOKUP(A755,sales_dataset!I:I,sales_dataset!G:G),"Not Found")</f>
        <v>UPI</v>
      </c>
    </row>
    <row r="756" spans="1:4">
      <c r="A756" s="6" t="s">
        <v>1409</v>
      </c>
      <c r="B756" t="str">
        <f>VLOOKUP(A756,sales_dataset!I:J,2,0)</f>
        <v>New York</v>
      </c>
      <c r="C756" t="str">
        <f>VLOOKUP(A756,sales_dataset!I:K,3,0)</f>
        <v>New York City</v>
      </c>
      <c r="D756" t="str">
        <f>IFERROR(_xlfn.XLOOKUP(A756,sales_dataset!I:I,sales_dataset!G:G),"Not Found")</f>
        <v>UPI</v>
      </c>
    </row>
    <row r="757" spans="1:4">
      <c r="A757" s="4" t="s">
        <v>1353</v>
      </c>
      <c r="B757" t="str">
        <f>VLOOKUP(A757,sales_dataset!I:J,2,0)</f>
        <v>Texas</v>
      </c>
      <c r="C757" t="str">
        <f>VLOOKUP(A757,sales_dataset!I:K,3,0)</f>
        <v>Houston</v>
      </c>
      <c r="D757" t="str">
        <f>IFERROR(_xlfn.XLOOKUP(A757,sales_dataset!I:I,sales_dataset!G:G),"Not Found")</f>
        <v>EMI</v>
      </c>
    </row>
    <row r="758" spans="1:4">
      <c r="A758" s="6" t="s">
        <v>1412</v>
      </c>
      <c r="B758" t="str">
        <f>VLOOKUP(A758,sales_dataset!I:J,2,0)</f>
        <v>Texas</v>
      </c>
      <c r="C758" t="str">
        <f>VLOOKUP(A758,sales_dataset!I:K,3,0)</f>
        <v>Austin</v>
      </c>
      <c r="D758" t="str">
        <f>IFERROR(_xlfn.XLOOKUP(A758,sales_dataset!I:I,sales_dataset!G:G),"Not Found")</f>
        <v>EMI</v>
      </c>
    </row>
    <row r="759" spans="1:4">
      <c r="A759" s="4" t="s">
        <v>1414</v>
      </c>
      <c r="B759" t="str">
        <f>VLOOKUP(A759,sales_dataset!I:J,2,0)</f>
        <v>Illinois</v>
      </c>
      <c r="C759" t="str">
        <f>VLOOKUP(A759,sales_dataset!I:K,3,0)</f>
        <v>Peoria</v>
      </c>
      <c r="D759" t="str">
        <f>IFERROR(_xlfn.XLOOKUP(A759,sales_dataset!I:I,sales_dataset!G:G),"Not Found")</f>
        <v>EMI</v>
      </c>
    </row>
    <row r="760" spans="1:4">
      <c r="A760" s="6" t="s">
        <v>1416</v>
      </c>
      <c r="B760" t="str">
        <f>VLOOKUP(A760,sales_dataset!I:J,2,0)</f>
        <v>Ohio</v>
      </c>
      <c r="C760" t="str">
        <f>VLOOKUP(A760,sales_dataset!I:K,3,0)</f>
        <v>Cincinnati</v>
      </c>
      <c r="D760" t="str">
        <f>IFERROR(_xlfn.XLOOKUP(A760,sales_dataset!I:I,sales_dataset!G:G),"Not Found")</f>
        <v>EMI</v>
      </c>
    </row>
    <row r="761" spans="1:4">
      <c r="A761" s="4" t="s">
        <v>1418</v>
      </c>
      <c r="B761" t="str">
        <f>VLOOKUP(A761,sales_dataset!I:J,2,0)</f>
        <v>Texas</v>
      </c>
      <c r="C761" t="str">
        <f>VLOOKUP(A761,sales_dataset!I:K,3,0)</f>
        <v>Dallas</v>
      </c>
      <c r="D761" t="str">
        <f>IFERROR(_xlfn.XLOOKUP(A761,sales_dataset!I:I,sales_dataset!G:G),"Not Found")</f>
        <v>EMI</v>
      </c>
    </row>
    <row r="762" spans="1:4">
      <c r="A762" s="6" t="s">
        <v>1419</v>
      </c>
      <c r="B762" t="str">
        <f>VLOOKUP(A762,sales_dataset!I:J,2,0)</f>
        <v>Ohio</v>
      </c>
      <c r="C762" t="str">
        <f>VLOOKUP(A762,sales_dataset!I:K,3,0)</f>
        <v>Cincinnati</v>
      </c>
      <c r="D762" t="str">
        <f>IFERROR(_xlfn.XLOOKUP(A762,sales_dataset!I:I,sales_dataset!G:G),"Not Found")</f>
        <v>EMI</v>
      </c>
    </row>
    <row r="763" spans="1:4">
      <c r="A763" s="4" t="s">
        <v>1420</v>
      </c>
      <c r="B763" t="str">
        <f>VLOOKUP(A763,sales_dataset!I:J,2,0)</f>
        <v>New York</v>
      </c>
      <c r="C763" t="str">
        <f>VLOOKUP(A763,sales_dataset!I:K,3,0)</f>
        <v>Rochester</v>
      </c>
      <c r="D763" t="str">
        <f>IFERROR(_xlfn.XLOOKUP(A763,sales_dataset!I:I,sales_dataset!G:G),"Not Found")</f>
        <v>EMI</v>
      </c>
    </row>
    <row r="764" spans="1:4">
      <c r="A764" s="4" t="s">
        <v>1026</v>
      </c>
      <c r="B764" t="str">
        <f>VLOOKUP(A764,sales_dataset!I:J,2,0)</f>
        <v>Ohio</v>
      </c>
      <c r="C764" t="str">
        <f>VLOOKUP(A764,sales_dataset!I:K,3,0)</f>
        <v>Cincinnati</v>
      </c>
      <c r="D764" t="str">
        <f>IFERROR(_xlfn.XLOOKUP(A764,sales_dataset!I:I,sales_dataset!G:G),"Not Found")</f>
        <v>Debit Card</v>
      </c>
    </row>
    <row r="765" spans="1:4">
      <c r="A765" s="6" t="s">
        <v>1027</v>
      </c>
      <c r="B765" t="str">
        <f>VLOOKUP(A765,sales_dataset!I:J,2,0)</f>
        <v>Ohio</v>
      </c>
      <c r="C765" t="str">
        <f>VLOOKUP(A765,sales_dataset!I:K,3,0)</f>
        <v>Cleveland</v>
      </c>
      <c r="D765" t="str">
        <f>IFERROR(_xlfn.XLOOKUP(A765,sales_dataset!I:I,sales_dataset!G:G),"Not Found")</f>
        <v>Debit Card</v>
      </c>
    </row>
    <row r="766" spans="1:4">
      <c r="A766" s="4" t="s">
        <v>1028</v>
      </c>
      <c r="B766" t="str">
        <f>VLOOKUP(A766,sales_dataset!I:J,2,0)</f>
        <v>Illinois</v>
      </c>
      <c r="C766" t="str">
        <f>VLOOKUP(A766,sales_dataset!I:K,3,0)</f>
        <v>Chicago</v>
      </c>
      <c r="D766" t="str">
        <f>IFERROR(_xlfn.XLOOKUP(A766,sales_dataset!I:I,sales_dataset!G:G),"Not Found")</f>
        <v>Debit Card</v>
      </c>
    </row>
    <row r="767" spans="1:4">
      <c r="A767" s="4" t="s">
        <v>1423</v>
      </c>
      <c r="B767" t="str">
        <f>VLOOKUP(A767,sales_dataset!I:J,2,0)</f>
        <v>Florida</v>
      </c>
      <c r="C767" t="str">
        <f>VLOOKUP(A767,sales_dataset!I:K,3,0)</f>
        <v>Miami</v>
      </c>
      <c r="D767" t="str">
        <f>IFERROR(_xlfn.XLOOKUP(A767,sales_dataset!I:I,sales_dataset!G:G),"Not Found")</f>
        <v>UPI</v>
      </c>
    </row>
    <row r="768" spans="1:4">
      <c r="A768" s="6" t="s">
        <v>1425</v>
      </c>
      <c r="B768" t="str">
        <f>VLOOKUP(A768,sales_dataset!I:J,2,0)</f>
        <v>Illinois</v>
      </c>
      <c r="C768" t="str">
        <f>VLOOKUP(A768,sales_dataset!I:K,3,0)</f>
        <v>Springfield</v>
      </c>
      <c r="D768" t="str">
        <f>IFERROR(_xlfn.XLOOKUP(A768,sales_dataset!I:I,sales_dataset!G:G),"Not Found")</f>
        <v>Credit Card</v>
      </c>
    </row>
    <row r="769" spans="1:4">
      <c r="A769" s="4" t="s">
        <v>1426</v>
      </c>
      <c r="B769" t="str">
        <f>VLOOKUP(A769,sales_dataset!I:J,2,0)</f>
        <v>New York</v>
      </c>
      <c r="C769" t="str">
        <f>VLOOKUP(A769,sales_dataset!I:K,3,0)</f>
        <v>Buffalo</v>
      </c>
      <c r="D769" t="str">
        <f>IFERROR(_xlfn.XLOOKUP(A769,sales_dataset!I:I,sales_dataset!G:G),"Not Found")</f>
        <v>Credit Card</v>
      </c>
    </row>
    <row r="770" spans="1:4">
      <c r="A770" s="6" t="s">
        <v>1428</v>
      </c>
      <c r="B770" t="str">
        <f>VLOOKUP(A770,sales_dataset!I:J,2,0)</f>
        <v>Ohio</v>
      </c>
      <c r="C770" t="str">
        <f>VLOOKUP(A770,sales_dataset!I:K,3,0)</f>
        <v>Columbus</v>
      </c>
      <c r="D770" t="str">
        <f>IFERROR(_xlfn.XLOOKUP(A770,sales_dataset!I:I,sales_dataset!G:G),"Not Found")</f>
        <v>Credit Card</v>
      </c>
    </row>
    <row r="771" spans="1:4">
      <c r="A771" s="4" t="s">
        <v>1430</v>
      </c>
      <c r="B771" t="str">
        <f>VLOOKUP(A771,sales_dataset!I:J,2,0)</f>
        <v>Illinois</v>
      </c>
      <c r="C771" t="str">
        <f>VLOOKUP(A771,sales_dataset!I:K,3,0)</f>
        <v>Chicago</v>
      </c>
      <c r="D771" t="str">
        <f>IFERROR(_xlfn.XLOOKUP(A771,sales_dataset!I:I,sales_dataset!G:G),"Not Found")</f>
        <v>Credit Card</v>
      </c>
    </row>
    <row r="772" spans="1:4">
      <c r="A772" s="6" t="s">
        <v>1432</v>
      </c>
      <c r="B772" t="str">
        <f>VLOOKUP(A772,sales_dataset!I:J,2,0)</f>
        <v>California</v>
      </c>
      <c r="C772" t="str">
        <f>VLOOKUP(A772,sales_dataset!I:K,3,0)</f>
        <v>Los Angeles</v>
      </c>
      <c r="D772" t="str">
        <f>IFERROR(_xlfn.XLOOKUP(A772,sales_dataset!I:I,sales_dataset!G:G),"Not Found")</f>
        <v>Credit Card</v>
      </c>
    </row>
    <row r="773" spans="1:4">
      <c r="A773" s="6" t="s">
        <v>807</v>
      </c>
      <c r="B773" t="str">
        <f>VLOOKUP(A773,sales_dataset!I:J,2,0)</f>
        <v>Illinois</v>
      </c>
      <c r="C773" t="str">
        <f>VLOOKUP(A773,sales_dataset!I:K,3,0)</f>
        <v>Springfield</v>
      </c>
      <c r="D773" t="str">
        <f>IFERROR(_xlfn.XLOOKUP(A773,sales_dataset!I:I,sales_dataset!G:G),"Not Found")</f>
        <v>Credit Card</v>
      </c>
    </row>
    <row r="774" spans="1:4">
      <c r="A774" s="6" t="s">
        <v>1434</v>
      </c>
      <c r="B774" t="str">
        <f>VLOOKUP(A774,sales_dataset!I:J,2,0)</f>
        <v>California</v>
      </c>
      <c r="C774" t="str">
        <f>VLOOKUP(A774,sales_dataset!I:K,3,0)</f>
        <v>San Francisco</v>
      </c>
      <c r="D774" t="str">
        <f>IFERROR(_xlfn.XLOOKUP(A774,sales_dataset!I:I,sales_dataset!G:G),"Not Found")</f>
        <v>Debit Card</v>
      </c>
    </row>
    <row r="775" spans="1:4">
      <c r="A775" s="4" t="s">
        <v>1435</v>
      </c>
      <c r="B775" t="str">
        <f>VLOOKUP(A775,sales_dataset!I:J,2,0)</f>
        <v>Ohio</v>
      </c>
      <c r="C775" t="str">
        <f>VLOOKUP(A775,sales_dataset!I:K,3,0)</f>
        <v>Columbus</v>
      </c>
      <c r="D775" t="str">
        <f>IFERROR(_xlfn.XLOOKUP(A775,sales_dataset!I:I,sales_dataset!G:G),"Not Found")</f>
        <v>Debit Card</v>
      </c>
    </row>
    <row r="776" spans="1:4">
      <c r="A776" s="4" t="s">
        <v>1438</v>
      </c>
      <c r="B776" t="str">
        <f>VLOOKUP(A776,sales_dataset!I:J,2,0)</f>
        <v>Ohio</v>
      </c>
      <c r="C776" t="str">
        <f>VLOOKUP(A776,sales_dataset!I:K,3,0)</f>
        <v>Columbus</v>
      </c>
      <c r="D776" t="str">
        <f>IFERROR(_xlfn.XLOOKUP(A776,sales_dataset!I:I,sales_dataset!G:G),"Not Found")</f>
        <v>EMI</v>
      </c>
    </row>
    <row r="777" spans="1:4">
      <c r="A777" s="6" t="s">
        <v>1439</v>
      </c>
      <c r="B777" t="str">
        <f>VLOOKUP(A777,sales_dataset!I:J,2,0)</f>
        <v>California</v>
      </c>
      <c r="C777" t="str">
        <f>VLOOKUP(A777,sales_dataset!I:K,3,0)</f>
        <v>San Francisco</v>
      </c>
      <c r="D777" t="str">
        <f>IFERROR(_xlfn.XLOOKUP(A777,sales_dataset!I:I,sales_dataset!G:G),"Not Found")</f>
        <v>EMI</v>
      </c>
    </row>
    <row r="778" spans="1:4">
      <c r="A778" s="4" t="s">
        <v>1441</v>
      </c>
      <c r="B778" t="str">
        <f>VLOOKUP(A778,sales_dataset!I:J,2,0)</f>
        <v>Florida</v>
      </c>
      <c r="C778" t="str">
        <f>VLOOKUP(A778,sales_dataset!I:K,3,0)</f>
        <v>Miami</v>
      </c>
      <c r="D778" t="str">
        <f>IFERROR(_xlfn.XLOOKUP(A778,sales_dataset!I:I,sales_dataset!G:G),"Not Found")</f>
        <v>Credit Card</v>
      </c>
    </row>
    <row r="779" spans="1:4">
      <c r="A779" s="6" t="s">
        <v>1442</v>
      </c>
      <c r="B779" t="str">
        <f>VLOOKUP(A779,sales_dataset!I:J,2,0)</f>
        <v>Florida</v>
      </c>
      <c r="C779" t="str">
        <f>VLOOKUP(A779,sales_dataset!I:K,3,0)</f>
        <v>Tampa</v>
      </c>
      <c r="D779" t="str">
        <f>IFERROR(_xlfn.XLOOKUP(A779,sales_dataset!I:I,sales_dataset!G:G),"Not Found")</f>
        <v>Credit Card</v>
      </c>
    </row>
    <row r="780" spans="1:4">
      <c r="A780" s="4" t="s">
        <v>1445</v>
      </c>
      <c r="B780" t="str">
        <f>VLOOKUP(A780,sales_dataset!I:J,2,0)</f>
        <v>Texas</v>
      </c>
      <c r="C780" t="str">
        <f>VLOOKUP(A780,sales_dataset!I:K,3,0)</f>
        <v>Austin</v>
      </c>
      <c r="D780" t="str">
        <f>IFERROR(_xlfn.XLOOKUP(A780,sales_dataset!I:I,sales_dataset!G:G),"Not Found")</f>
        <v>EMI</v>
      </c>
    </row>
    <row r="781" spans="1:4">
      <c r="A781" s="4" t="s">
        <v>1448</v>
      </c>
      <c r="B781" t="str">
        <f>VLOOKUP(A781,sales_dataset!I:J,2,0)</f>
        <v>California</v>
      </c>
      <c r="C781" t="str">
        <f>VLOOKUP(A781,sales_dataset!I:K,3,0)</f>
        <v>Los Angeles</v>
      </c>
      <c r="D781" t="str">
        <f>IFERROR(_xlfn.XLOOKUP(A781,sales_dataset!I:I,sales_dataset!G:G),"Not Found")</f>
        <v>UPI</v>
      </c>
    </row>
    <row r="782" spans="1:4">
      <c r="A782" s="6" t="s">
        <v>1450</v>
      </c>
      <c r="B782" t="str">
        <f>VLOOKUP(A782,sales_dataset!I:J,2,0)</f>
        <v>California</v>
      </c>
      <c r="C782" t="str">
        <f>VLOOKUP(A782,sales_dataset!I:K,3,0)</f>
        <v>San Francisco</v>
      </c>
      <c r="D782" t="str">
        <f>IFERROR(_xlfn.XLOOKUP(A782,sales_dataset!I:I,sales_dataset!G:G),"Not Found")</f>
        <v>UPI</v>
      </c>
    </row>
    <row r="783" spans="1:4">
      <c r="A783" s="6" t="s">
        <v>1453</v>
      </c>
      <c r="B783" t="str">
        <f>VLOOKUP(A783,sales_dataset!I:J,2,0)</f>
        <v>Ohio</v>
      </c>
      <c r="C783" t="str">
        <f>VLOOKUP(A783,sales_dataset!I:K,3,0)</f>
        <v>Columbus</v>
      </c>
      <c r="D783" t="str">
        <f>IFERROR(_xlfn.XLOOKUP(A783,sales_dataset!I:I,sales_dataset!G:G),"Not Found")</f>
        <v>UPI</v>
      </c>
    </row>
    <row r="784" spans="1:4">
      <c r="A784" s="4" t="s">
        <v>1454</v>
      </c>
      <c r="B784" t="str">
        <f>VLOOKUP(A784,sales_dataset!I:J,2,0)</f>
        <v>Illinois</v>
      </c>
      <c r="C784" t="str">
        <f>VLOOKUP(A784,sales_dataset!I:K,3,0)</f>
        <v>Peoria</v>
      </c>
      <c r="D784" t="str">
        <f>IFERROR(_xlfn.XLOOKUP(A784,sales_dataset!I:I,sales_dataset!G:G),"Not Found")</f>
        <v>UPI</v>
      </c>
    </row>
    <row r="785" spans="1:4">
      <c r="A785" s="6" t="s">
        <v>1457</v>
      </c>
      <c r="B785" t="str">
        <f>VLOOKUP(A785,sales_dataset!I:J,2,0)</f>
        <v>California</v>
      </c>
      <c r="C785" t="str">
        <f>VLOOKUP(A785,sales_dataset!I:K,3,0)</f>
        <v>Los Angeles</v>
      </c>
      <c r="D785" t="str">
        <f>IFERROR(_xlfn.XLOOKUP(A785,sales_dataset!I:I,sales_dataset!G:G),"Not Found")</f>
        <v>Credit Card</v>
      </c>
    </row>
    <row r="786" spans="1:4">
      <c r="A786" s="4" t="s">
        <v>617</v>
      </c>
      <c r="B786" t="str">
        <f>VLOOKUP(A786,sales_dataset!I:J,2,0)</f>
        <v>New York</v>
      </c>
      <c r="C786" t="str">
        <f>VLOOKUP(A786,sales_dataset!I:K,3,0)</f>
        <v>Rochester</v>
      </c>
      <c r="D786" t="str">
        <f>IFERROR(_xlfn.XLOOKUP(A786,sales_dataset!I:I,sales_dataset!G:G),"Not Found")</f>
        <v>EMI</v>
      </c>
    </row>
    <row r="787" spans="1:4">
      <c r="A787" s="6" t="s">
        <v>619</v>
      </c>
      <c r="B787" t="str">
        <f>VLOOKUP(A787,sales_dataset!I:J,2,0)</f>
        <v>California</v>
      </c>
      <c r="C787" t="str">
        <f>VLOOKUP(A787,sales_dataset!I:K,3,0)</f>
        <v>San Diego</v>
      </c>
      <c r="D787" t="str">
        <f>IFERROR(_xlfn.XLOOKUP(A787,sales_dataset!I:I,sales_dataset!G:G),"Not Found")</f>
        <v>EMI</v>
      </c>
    </row>
    <row r="788" spans="1:4">
      <c r="A788" s="4" t="s">
        <v>620</v>
      </c>
      <c r="B788" t="str">
        <f>VLOOKUP(A788,sales_dataset!I:J,2,0)</f>
        <v>Florida</v>
      </c>
      <c r="C788" t="str">
        <f>VLOOKUP(A788,sales_dataset!I:K,3,0)</f>
        <v>Tampa</v>
      </c>
      <c r="D788" t="str">
        <f>IFERROR(_xlfn.XLOOKUP(A788,sales_dataset!I:I,sales_dataset!G:G),"Not Found")</f>
        <v>EMI</v>
      </c>
    </row>
    <row r="789" spans="1:4">
      <c r="A789" s="4" t="s">
        <v>1459</v>
      </c>
      <c r="B789" t="str">
        <f>VLOOKUP(A789,sales_dataset!I:J,2,0)</f>
        <v>New York</v>
      </c>
      <c r="C789" t="str">
        <f>VLOOKUP(A789,sales_dataset!I:K,3,0)</f>
        <v>New York City</v>
      </c>
      <c r="D789" t="str">
        <f>IFERROR(_xlfn.XLOOKUP(A789,sales_dataset!I:I,sales_dataset!G:G),"Not Found")</f>
        <v>COD</v>
      </c>
    </row>
    <row r="790" spans="1:4">
      <c r="A790" s="6" t="s">
        <v>1461</v>
      </c>
      <c r="B790" t="str">
        <f>VLOOKUP(A790,sales_dataset!I:J,2,0)</f>
        <v>Illinois</v>
      </c>
      <c r="C790" t="str">
        <f>VLOOKUP(A790,sales_dataset!I:K,3,0)</f>
        <v>Springfield</v>
      </c>
      <c r="D790" t="str">
        <f>IFERROR(_xlfn.XLOOKUP(A790,sales_dataset!I:I,sales_dataset!G:G),"Not Found")</f>
        <v>COD</v>
      </c>
    </row>
    <row r="791" spans="1:4">
      <c r="A791" s="6" t="s">
        <v>1464</v>
      </c>
      <c r="B791" t="str">
        <f>VLOOKUP(A791,sales_dataset!I:J,2,0)</f>
        <v>Ohio</v>
      </c>
      <c r="C791" t="str">
        <f>VLOOKUP(A791,sales_dataset!I:K,3,0)</f>
        <v>Cleveland</v>
      </c>
      <c r="D791" t="str">
        <f>IFERROR(_xlfn.XLOOKUP(A791,sales_dataset!I:I,sales_dataset!G:G),"Not Found")</f>
        <v>Credit Card</v>
      </c>
    </row>
    <row r="792" spans="1:4">
      <c r="A792" s="4" t="s">
        <v>1465</v>
      </c>
      <c r="B792" t="str">
        <f>VLOOKUP(A792,sales_dataset!I:J,2,0)</f>
        <v>California</v>
      </c>
      <c r="C792" t="str">
        <f>VLOOKUP(A792,sales_dataset!I:K,3,0)</f>
        <v>Los Angeles</v>
      </c>
      <c r="D792" t="str">
        <f>IFERROR(_xlfn.XLOOKUP(A792,sales_dataset!I:I,sales_dataset!G:G),"Not Found")</f>
        <v>Credit Card</v>
      </c>
    </row>
    <row r="793" spans="1:4">
      <c r="A793" s="6" t="s">
        <v>1351</v>
      </c>
      <c r="B793" t="str">
        <f>VLOOKUP(A793,sales_dataset!I:J,2,0)</f>
        <v>California</v>
      </c>
      <c r="C793" t="str">
        <f>VLOOKUP(A793,sales_dataset!I:K,3,0)</f>
        <v>San Francisco</v>
      </c>
      <c r="D793" t="str">
        <f>IFERROR(_xlfn.XLOOKUP(A793,sales_dataset!I:I,sales_dataset!G:G),"Not Found")</f>
        <v>EMI</v>
      </c>
    </row>
    <row r="794" spans="1:4">
      <c r="A794" s="6" t="s">
        <v>1467</v>
      </c>
      <c r="B794" t="str">
        <f>VLOOKUP(A794,sales_dataset!I:J,2,0)</f>
        <v>Ohio</v>
      </c>
      <c r="C794" t="str">
        <f>VLOOKUP(A794,sales_dataset!I:K,3,0)</f>
        <v>Columbus</v>
      </c>
      <c r="D794" t="str">
        <f>IFERROR(_xlfn.XLOOKUP(A794,sales_dataset!I:I,sales_dataset!G:G),"Not Found")</f>
        <v>Debit Card</v>
      </c>
    </row>
    <row r="795" spans="1:4">
      <c r="A795" s="4" t="s">
        <v>1128</v>
      </c>
      <c r="B795" t="str">
        <f>VLOOKUP(A795,sales_dataset!I:J,2,0)</f>
        <v>Texas</v>
      </c>
      <c r="C795" t="str">
        <f>VLOOKUP(A795,sales_dataset!I:K,3,0)</f>
        <v>Dallas</v>
      </c>
      <c r="D795" t="str">
        <f>IFERROR(_xlfn.XLOOKUP(A795,sales_dataset!I:I,sales_dataset!G:G),"Not Found")</f>
        <v>EMI</v>
      </c>
    </row>
    <row r="796" spans="1:4">
      <c r="A796" s="6" t="s">
        <v>1088</v>
      </c>
      <c r="B796" t="str">
        <f>VLOOKUP(A796,sales_dataset!I:J,2,0)</f>
        <v>Illinois</v>
      </c>
      <c r="C796" t="str">
        <f>VLOOKUP(A796,sales_dataset!I:K,3,0)</f>
        <v>Chicago</v>
      </c>
      <c r="D796" t="str">
        <f>IFERROR(_xlfn.XLOOKUP(A796,sales_dataset!I:I,sales_dataset!G:G),"Not Found")</f>
        <v>Credit Card</v>
      </c>
    </row>
    <row r="797" spans="1:4">
      <c r="A797" s="6" t="s">
        <v>1470</v>
      </c>
      <c r="B797" t="str">
        <f>VLOOKUP(A797,sales_dataset!I:J,2,0)</f>
        <v>Illinois</v>
      </c>
      <c r="C797" t="str">
        <f>VLOOKUP(A797,sales_dataset!I:K,3,0)</f>
        <v>Chicago</v>
      </c>
      <c r="D797" t="str">
        <f>IFERROR(_xlfn.XLOOKUP(A797,sales_dataset!I:I,sales_dataset!G:G),"Not Found")</f>
        <v>UPI</v>
      </c>
    </row>
    <row r="798" spans="1:4">
      <c r="A798" s="4" t="s">
        <v>198</v>
      </c>
      <c r="B798" t="str">
        <f>VLOOKUP(A798,sales_dataset!I:J,2,0)</f>
        <v>California</v>
      </c>
      <c r="C798" t="str">
        <f>VLOOKUP(A798,sales_dataset!I:K,3,0)</f>
        <v>San Francisco</v>
      </c>
      <c r="D798" t="str">
        <f>IFERROR(_xlfn.XLOOKUP(A798,sales_dataset!I:I,sales_dataset!G:G),"Not Found")</f>
        <v>UPI</v>
      </c>
    </row>
    <row r="799" spans="1:4">
      <c r="A799" s="4" t="s">
        <v>1472</v>
      </c>
      <c r="B799" t="str">
        <f>VLOOKUP(A799,sales_dataset!I:J,2,0)</f>
        <v>Texas</v>
      </c>
      <c r="C799" t="str">
        <f>VLOOKUP(A799,sales_dataset!I:K,3,0)</f>
        <v>Dallas</v>
      </c>
      <c r="D799" t="str">
        <f>IFERROR(_xlfn.XLOOKUP(A799,sales_dataset!I:I,sales_dataset!G:G),"Not Found")</f>
        <v>Credit Card</v>
      </c>
    </row>
    <row r="800" spans="1:4">
      <c r="A800" s="6" t="s">
        <v>1393</v>
      </c>
      <c r="B800" t="str">
        <f>VLOOKUP(A800,sales_dataset!I:J,2,0)</f>
        <v>California</v>
      </c>
      <c r="C800" t="str">
        <f>VLOOKUP(A800,sales_dataset!I:K,3,0)</f>
        <v>San Francisco</v>
      </c>
      <c r="D800" t="str">
        <f>IFERROR(_xlfn.XLOOKUP(A800,sales_dataset!I:I,sales_dataset!G:G),"Not Found")</f>
        <v>Debit Card</v>
      </c>
    </row>
    <row r="801" spans="1:4">
      <c r="A801" s="4" t="s">
        <v>1394</v>
      </c>
      <c r="B801" t="str">
        <f>VLOOKUP(A801,sales_dataset!I:J,2,0)</f>
        <v>Illinois</v>
      </c>
      <c r="C801" t="str">
        <f>VLOOKUP(A801,sales_dataset!I:K,3,0)</f>
        <v>Springfield</v>
      </c>
      <c r="D801" t="str">
        <f>IFERROR(_xlfn.XLOOKUP(A801,sales_dataset!I:I,sales_dataset!G:G),"Not Found")</f>
        <v>Debit Card</v>
      </c>
    </row>
    <row r="802" spans="1:4">
      <c r="A802" s="6" t="s">
        <v>1395</v>
      </c>
      <c r="B802" t="str">
        <f>VLOOKUP(A802,sales_dataset!I:J,2,0)</f>
        <v>California</v>
      </c>
      <c r="C802" t="str">
        <f>VLOOKUP(A802,sales_dataset!I:K,3,0)</f>
        <v>San Diego</v>
      </c>
      <c r="D802" t="str">
        <f>IFERROR(_xlfn.XLOOKUP(A802,sales_dataset!I:I,sales_dataset!G:G),"Not Found")</f>
        <v>Debit Card</v>
      </c>
    </row>
    <row r="803" spans="1:4">
      <c r="A803" s="6" t="s">
        <v>807</v>
      </c>
      <c r="B803" t="str">
        <f>VLOOKUP(A803,sales_dataset!I:J,2,0)</f>
        <v>Illinois</v>
      </c>
      <c r="C803" t="str">
        <f>VLOOKUP(A803,sales_dataset!I:K,3,0)</f>
        <v>Springfield</v>
      </c>
      <c r="D803" t="str">
        <f>IFERROR(_xlfn.XLOOKUP(A803,sales_dataset!I:I,sales_dataset!G:G),"Not Found")</f>
        <v>Credit Card</v>
      </c>
    </row>
    <row r="804" spans="1:4">
      <c r="A804" s="4" t="s">
        <v>1474</v>
      </c>
      <c r="B804" t="str">
        <f>VLOOKUP(A804,sales_dataset!I:J,2,0)</f>
        <v>Illinois</v>
      </c>
      <c r="C804" t="str">
        <f>VLOOKUP(A804,sales_dataset!I:K,3,0)</f>
        <v>Peoria</v>
      </c>
      <c r="D804" t="str">
        <f>IFERROR(_xlfn.XLOOKUP(A804,sales_dataset!I:I,sales_dataset!G:G),"Not Found")</f>
        <v>Credit Card</v>
      </c>
    </row>
    <row r="805" spans="1:4">
      <c r="A805" s="6" t="s">
        <v>1476</v>
      </c>
      <c r="B805" t="str">
        <f>VLOOKUP(A805,sales_dataset!I:J,2,0)</f>
        <v>Texas</v>
      </c>
      <c r="C805" t="str">
        <f>VLOOKUP(A805,sales_dataset!I:K,3,0)</f>
        <v>Dallas</v>
      </c>
      <c r="D805" t="str">
        <f>IFERROR(_xlfn.XLOOKUP(A805,sales_dataset!I:I,sales_dataset!G:G),"Not Found")</f>
        <v>Credit Card</v>
      </c>
    </row>
    <row r="806" spans="1:4">
      <c r="A806" s="4" t="s">
        <v>1478</v>
      </c>
      <c r="B806" t="str">
        <f>VLOOKUP(A806,sales_dataset!I:J,2,0)</f>
        <v>Texas</v>
      </c>
      <c r="C806" t="str">
        <f>VLOOKUP(A806,sales_dataset!I:K,3,0)</f>
        <v>Austin</v>
      </c>
      <c r="D806" t="str">
        <f>IFERROR(_xlfn.XLOOKUP(A806,sales_dataset!I:I,sales_dataset!G:G),"Not Found")</f>
        <v>Credit Card</v>
      </c>
    </row>
    <row r="807" spans="1:4">
      <c r="A807" s="6" t="s">
        <v>1479</v>
      </c>
      <c r="B807" t="str">
        <f>VLOOKUP(A807,sales_dataset!I:J,2,0)</f>
        <v>Texas</v>
      </c>
      <c r="C807" t="str">
        <f>VLOOKUP(A807,sales_dataset!I:K,3,0)</f>
        <v>Dallas</v>
      </c>
      <c r="D807" t="str">
        <f>IFERROR(_xlfn.XLOOKUP(A807,sales_dataset!I:I,sales_dataset!G:G),"Not Found")</f>
        <v>Credit Card</v>
      </c>
    </row>
    <row r="808" spans="1:4">
      <c r="A808" s="4" t="s">
        <v>1480</v>
      </c>
      <c r="B808" t="str">
        <f>VLOOKUP(A808,sales_dataset!I:J,2,0)</f>
        <v>Ohio</v>
      </c>
      <c r="C808" t="str">
        <f>VLOOKUP(A808,sales_dataset!I:K,3,0)</f>
        <v>Cincinnati</v>
      </c>
      <c r="D808" t="str">
        <f>IFERROR(_xlfn.XLOOKUP(A808,sales_dataset!I:I,sales_dataset!G:G),"Not Found")</f>
        <v>Credit Card</v>
      </c>
    </row>
    <row r="809" spans="1:4">
      <c r="A809" s="4" t="s">
        <v>1482</v>
      </c>
      <c r="B809" t="str">
        <f>VLOOKUP(A809,sales_dataset!I:J,2,0)</f>
        <v>California</v>
      </c>
      <c r="C809" t="str">
        <f>VLOOKUP(A809,sales_dataset!I:K,3,0)</f>
        <v>Los Angeles</v>
      </c>
      <c r="D809" t="str">
        <f>IFERROR(_xlfn.XLOOKUP(A809,sales_dataset!I:I,sales_dataset!G:G),"Not Found")</f>
        <v>UPI</v>
      </c>
    </row>
    <row r="810" spans="1:4">
      <c r="A810" s="6" t="s">
        <v>741</v>
      </c>
      <c r="B810" t="str">
        <f>VLOOKUP(A810,sales_dataset!I:J,2,0)</f>
        <v>Florida</v>
      </c>
      <c r="C810" t="str">
        <f>VLOOKUP(A810,sales_dataset!I:K,3,0)</f>
        <v>Tampa</v>
      </c>
      <c r="D810" t="str">
        <f>IFERROR(_xlfn.XLOOKUP(A810,sales_dataset!I:I,sales_dataset!G:G),"Not Found")</f>
        <v>Credit Card</v>
      </c>
    </row>
    <row r="811" spans="1:4">
      <c r="A811" s="4" t="s">
        <v>743</v>
      </c>
      <c r="B811" t="str">
        <f>VLOOKUP(A811,sales_dataset!I:J,2,0)</f>
        <v>Illinois</v>
      </c>
      <c r="C811" t="str">
        <f>VLOOKUP(A811,sales_dataset!I:K,3,0)</f>
        <v>Peoria</v>
      </c>
      <c r="D811" t="str">
        <f>IFERROR(_xlfn.XLOOKUP(A811,sales_dataset!I:I,sales_dataset!G:G),"Not Found")</f>
        <v>Credit Card</v>
      </c>
    </row>
    <row r="812" spans="1:4">
      <c r="A812" s="6" t="s">
        <v>744</v>
      </c>
      <c r="B812" t="str">
        <f>VLOOKUP(A812,sales_dataset!I:J,2,0)</f>
        <v>Florida</v>
      </c>
      <c r="C812" t="str">
        <f>VLOOKUP(A812,sales_dataset!I:K,3,0)</f>
        <v>Miami</v>
      </c>
      <c r="D812" t="str">
        <f>IFERROR(_xlfn.XLOOKUP(A812,sales_dataset!I:I,sales_dataset!G:G),"Not Found")</f>
        <v>Credit Card</v>
      </c>
    </row>
    <row r="813" spans="1:4">
      <c r="A813" s="4" t="s">
        <v>745</v>
      </c>
      <c r="B813" t="str">
        <f>VLOOKUP(A813,sales_dataset!I:J,2,0)</f>
        <v>Texas</v>
      </c>
      <c r="C813" t="str">
        <f>VLOOKUP(A813,sales_dataset!I:K,3,0)</f>
        <v>Houston</v>
      </c>
      <c r="D813" t="str">
        <f>IFERROR(_xlfn.XLOOKUP(A813,sales_dataset!I:I,sales_dataset!G:G),"Not Found")</f>
        <v>Credit Card</v>
      </c>
    </row>
    <row r="814" spans="1:4">
      <c r="A814" s="4" t="s">
        <v>427</v>
      </c>
      <c r="B814" t="str">
        <f>VLOOKUP(A814,sales_dataset!I:J,2,0)</f>
        <v>Ohio</v>
      </c>
      <c r="C814" t="str">
        <f>VLOOKUP(A814,sales_dataset!I:K,3,0)</f>
        <v>Cleveland</v>
      </c>
      <c r="D814" t="str">
        <f>IFERROR(_xlfn.XLOOKUP(A814,sales_dataset!I:I,sales_dataset!G:G),"Not Found")</f>
        <v>Debit Card</v>
      </c>
    </row>
    <row r="815" spans="1:4">
      <c r="A815" s="6" t="s">
        <v>429</v>
      </c>
      <c r="B815" t="str">
        <f>VLOOKUP(A815,sales_dataset!I:J,2,0)</f>
        <v>New York</v>
      </c>
      <c r="C815" t="str">
        <f>VLOOKUP(A815,sales_dataset!I:K,3,0)</f>
        <v>Rochester</v>
      </c>
      <c r="D815" t="str">
        <f>IFERROR(_xlfn.XLOOKUP(A815,sales_dataset!I:I,sales_dataset!G:G),"Not Found")</f>
        <v>Debit Card</v>
      </c>
    </row>
    <row r="816" spans="1:4">
      <c r="A816" s="6" t="s">
        <v>1484</v>
      </c>
      <c r="B816" t="str">
        <f>VLOOKUP(A816,sales_dataset!I:J,2,0)</f>
        <v>Florida</v>
      </c>
      <c r="C816" t="str">
        <f>VLOOKUP(A816,sales_dataset!I:K,3,0)</f>
        <v>Miami</v>
      </c>
      <c r="D816" t="str">
        <f>IFERROR(_xlfn.XLOOKUP(A816,sales_dataset!I:I,sales_dataset!G:G),"Not Found")</f>
        <v>COD</v>
      </c>
    </row>
    <row r="817" spans="1:4">
      <c r="A817" s="4" t="s">
        <v>1486</v>
      </c>
      <c r="B817" t="str">
        <f>VLOOKUP(A817,sales_dataset!I:J,2,0)</f>
        <v>Ohio</v>
      </c>
      <c r="C817" t="str">
        <f>VLOOKUP(A817,sales_dataset!I:K,3,0)</f>
        <v>Cincinnati</v>
      </c>
      <c r="D817" t="str">
        <f>IFERROR(_xlfn.XLOOKUP(A817,sales_dataset!I:I,sales_dataset!G:G),"Not Found")</f>
        <v>COD</v>
      </c>
    </row>
    <row r="818" spans="1:4">
      <c r="A818" s="4" t="s">
        <v>1489</v>
      </c>
      <c r="B818" t="str">
        <f>VLOOKUP(A818,sales_dataset!I:J,2,0)</f>
        <v>Ohio</v>
      </c>
      <c r="C818" t="str">
        <f>VLOOKUP(A818,sales_dataset!I:K,3,0)</f>
        <v>Cleveland</v>
      </c>
      <c r="D818" t="str">
        <f>IFERROR(_xlfn.XLOOKUP(A818,sales_dataset!I:I,sales_dataset!G:G),"Not Found")</f>
        <v>EMI</v>
      </c>
    </row>
    <row r="819" spans="1:4">
      <c r="A819" s="6" t="s">
        <v>412</v>
      </c>
      <c r="B819" t="str">
        <f>VLOOKUP(A819,sales_dataset!I:J,2,0)</f>
        <v>Texas</v>
      </c>
      <c r="C819" t="str">
        <f>VLOOKUP(A819,sales_dataset!I:K,3,0)</f>
        <v>Austin</v>
      </c>
      <c r="D819" t="str">
        <f>IFERROR(_xlfn.XLOOKUP(A819,sales_dataset!I:I,sales_dataset!G:G),"Not Found")</f>
        <v>Debit Card</v>
      </c>
    </row>
    <row r="820" spans="1:4">
      <c r="A820" s="4" t="s">
        <v>414</v>
      </c>
      <c r="B820" t="str">
        <f>VLOOKUP(A820,sales_dataset!I:J,2,0)</f>
        <v>Ohio</v>
      </c>
      <c r="C820" t="str">
        <f>VLOOKUP(A820,sales_dataset!I:K,3,0)</f>
        <v>Cincinnati</v>
      </c>
      <c r="D820" t="str">
        <f>IFERROR(_xlfn.XLOOKUP(A820,sales_dataset!I:I,sales_dataset!G:G),"Not Found")</f>
        <v>Debit Card</v>
      </c>
    </row>
    <row r="821" spans="1:4">
      <c r="A821" s="6" t="s">
        <v>415</v>
      </c>
      <c r="B821" t="str">
        <f>VLOOKUP(A821,sales_dataset!I:J,2,0)</f>
        <v>Texas</v>
      </c>
      <c r="C821" t="str">
        <f>VLOOKUP(A821,sales_dataset!I:K,3,0)</f>
        <v>Dallas</v>
      </c>
      <c r="D821" t="str">
        <f>IFERROR(_xlfn.XLOOKUP(A821,sales_dataset!I:I,sales_dataset!G:G),"Not Found")</f>
        <v>Debit Card</v>
      </c>
    </row>
    <row r="822" spans="1:4">
      <c r="A822" s="6" t="s">
        <v>1492</v>
      </c>
      <c r="B822" t="str">
        <f>VLOOKUP(A822,sales_dataset!I:J,2,0)</f>
        <v>Texas</v>
      </c>
      <c r="C822" t="str">
        <f>VLOOKUP(A822,sales_dataset!I:K,3,0)</f>
        <v>Austin</v>
      </c>
      <c r="D822" t="str">
        <f>IFERROR(_xlfn.XLOOKUP(A822,sales_dataset!I:I,sales_dataset!G:G),"Not Found")</f>
        <v>EMI</v>
      </c>
    </row>
    <row r="823" spans="1:4">
      <c r="A823" s="4" t="s">
        <v>1494</v>
      </c>
      <c r="B823" t="str">
        <f>VLOOKUP(A823,sales_dataset!I:J,2,0)</f>
        <v>Illinois</v>
      </c>
      <c r="C823" t="str">
        <f>VLOOKUP(A823,sales_dataset!I:K,3,0)</f>
        <v>Springfield</v>
      </c>
      <c r="D823" t="str">
        <f>IFERROR(_xlfn.XLOOKUP(A823,sales_dataset!I:I,sales_dataset!G:G),"Not Found")</f>
        <v>EMI</v>
      </c>
    </row>
    <row r="824" spans="1:4">
      <c r="A824" s="6" t="s">
        <v>515</v>
      </c>
      <c r="B824" t="str">
        <f>VLOOKUP(A824,sales_dataset!I:J,2,0)</f>
        <v>New York</v>
      </c>
      <c r="C824" t="str">
        <f>VLOOKUP(A824,sales_dataset!I:K,3,0)</f>
        <v>Rochester</v>
      </c>
      <c r="D824" t="str">
        <f>IFERROR(_xlfn.XLOOKUP(A824,sales_dataset!I:I,sales_dataset!G:G),"Not Found")</f>
        <v>UPI</v>
      </c>
    </row>
    <row r="825" spans="1:4">
      <c r="A825" s="4" t="s">
        <v>1497</v>
      </c>
      <c r="B825" t="str">
        <f>VLOOKUP(A825,sales_dataset!I:J,2,0)</f>
        <v>California</v>
      </c>
      <c r="C825" t="str">
        <f>VLOOKUP(A825,sales_dataset!I:K,3,0)</f>
        <v>Los Angeles</v>
      </c>
      <c r="D825" t="str">
        <f>IFERROR(_xlfn.XLOOKUP(A825,sales_dataset!I:I,sales_dataset!G:G),"Not Found")</f>
        <v>EMI</v>
      </c>
    </row>
    <row r="826" spans="1:4">
      <c r="A826" s="6" t="s">
        <v>1499</v>
      </c>
      <c r="B826" t="str">
        <f>VLOOKUP(A826,sales_dataset!I:J,2,0)</f>
        <v>Illinois</v>
      </c>
      <c r="C826" t="str">
        <f>VLOOKUP(A826,sales_dataset!I:K,3,0)</f>
        <v>Peoria</v>
      </c>
      <c r="D826" t="str">
        <f>IFERROR(_xlfn.XLOOKUP(A826,sales_dataset!I:I,sales_dataset!G:G),"Not Found")</f>
        <v>EMI</v>
      </c>
    </row>
    <row r="827" spans="1:4">
      <c r="A827" s="4" t="s">
        <v>1501</v>
      </c>
      <c r="B827" t="str">
        <f>VLOOKUP(A827,sales_dataset!I:J,2,0)</f>
        <v>Ohio</v>
      </c>
      <c r="C827" t="str">
        <f>VLOOKUP(A827,sales_dataset!I:K,3,0)</f>
        <v>Cincinnati</v>
      </c>
      <c r="D827" t="str">
        <f>IFERROR(_xlfn.XLOOKUP(A827,sales_dataset!I:I,sales_dataset!G:G),"Not Found")</f>
        <v>UPI</v>
      </c>
    </row>
    <row r="828" spans="1:4">
      <c r="A828" s="4" t="s">
        <v>1504</v>
      </c>
      <c r="B828" t="str">
        <f>VLOOKUP(A828,sales_dataset!I:J,2,0)</f>
        <v>California</v>
      </c>
      <c r="C828" t="str">
        <f>VLOOKUP(A828,sales_dataset!I:K,3,0)</f>
        <v>Los Angeles</v>
      </c>
      <c r="D828" t="str">
        <f>IFERROR(_xlfn.XLOOKUP(A828,sales_dataset!I:I,sales_dataset!G:G),"Not Found")</f>
        <v>Credit Card</v>
      </c>
    </row>
    <row r="829" spans="1:4">
      <c r="A829" s="4" t="s">
        <v>1507</v>
      </c>
      <c r="B829" t="str">
        <f>VLOOKUP(A829,sales_dataset!I:J,2,0)</f>
        <v>California</v>
      </c>
      <c r="C829" t="str">
        <f>VLOOKUP(A829,sales_dataset!I:K,3,0)</f>
        <v>San Diego</v>
      </c>
      <c r="D829" t="str">
        <f>IFERROR(_xlfn.XLOOKUP(A829,sales_dataset!I:I,sales_dataset!G:G),"Not Found")</f>
        <v>UPI</v>
      </c>
    </row>
    <row r="830" spans="1:4">
      <c r="A830" s="4" t="s">
        <v>1510</v>
      </c>
      <c r="B830" t="str">
        <f>VLOOKUP(A830,sales_dataset!I:J,2,0)</f>
        <v>Florida</v>
      </c>
      <c r="C830" t="str">
        <f>VLOOKUP(A830,sales_dataset!I:K,3,0)</f>
        <v>Miami</v>
      </c>
      <c r="D830" t="str">
        <f>IFERROR(_xlfn.XLOOKUP(A830,sales_dataset!I:I,sales_dataset!G:G),"Not Found")</f>
        <v>Credit Card</v>
      </c>
    </row>
    <row r="831" spans="1:4">
      <c r="A831" s="6" t="s">
        <v>611</v>
      </c>
      <c r="B831" t="str">
        <f>VLOOKUP(A831,sales_dataset!I:J,2,0)</f>
        <v>California</v>
      </c>
      <c r="C831" t="str">
        <f>VLOOKUP(A831,sales_dataset!I:K,3,0)</f>
        <v>San Francisco</v>
      </c>
      <c r="D831" t="str">
        <f>IFERROR(_xlfn.XLOOKUP(A831,sales_dataset!I:I,sales_dataset!G:G),"Not Found")</f>
        <v>UPI</v>
      </c>
    </row>
    <row r="832" spans="1:4">
      <c r="A832" s="4" t="s">
        <v>613</v>
      </c>
      <c r="B832" t="str">
        <f>VLOOKUP(A832,sales_dataset!I:J,2,0)</f>
        <v>New York</v>
      </c>
      <c r="C832" t="str">
        <f>VLOOKUP(A832,sales_dataset!I:K,3,0)</f>
        <v>Buffalo</v>
      </c>
      <c r="D832" t="str">
        <f>IFERROR(_xlfn.XLOOKUP(A832,sales_dataset!I:I,sales_dataset!G:G),"Not Found")</f>
        <v>UPI</v>
      </c>
    </row>
    <row r="833" spans="1:4">
      <c r="A833" s="6" t="s">
        <v>615</v>
      </c>
      <c r="B833" t="str">
        <f>VLOOKUP(A833,sales_dataset!I:J,2,0)</f>
        <v>Ohio</v>
      </c>
      <c r="C833" t="str">
        <f>VLOOKUP(A833,sales_dataset!I:K,3,0)</f>
        <v>Cleveland</v>
      </c>
      <c r="D833" t="str">
        <f>IFERROR(_xlfn.XLOOKUP(A833,sales_dataset!I:I,sales_dataset!G:G),"Not Found")</f>
        <v>UPI</v>
      </c>
    </row>
    <row r="834" spans="1:4">
      <c r="A834" s="6" t="s">
        <v>1513</v>
      </c>
      <c r="B834" t="str">
        <f>VLOOKUP(A834,sales_dataset!I:J,2,0)</f>
        <v>New York</v>
      </c>
      <c r="C834" t="str">
        <f>VLOOKUP(A834,sales_dataset!I:K,3,0)</f>
        <v>New York City</v>
      </c>
      <c r="D834" t="str">
        <f>IFERROR(_xlfn.XLOOKUP(A834,sales_dataset!I:I,sales_dataset!G:G),"Not Found")</f>
        <v>COD</v>
      </c>
    </row>
    <row r="835" spans="1:4">
      <c r="A835" s="6" t="s">
        <v>1515</v>
      </c>
      <c r="B835" t="str">
        <f>VLOOKUP(A835,sales_dataset!I:J,2,0)</f>
        <v>Illinois</v>
      </c>
      <c r="C835" t="str">
        <f>VLOOKUP(A835,sales_dataset!I:K,3,0)</f>
        <v>Chicago</v>
      </c>
      <c r="D835" t="str">
        <f>IFERROR(_xlfn.XLOOKUP(A835,sales_dataset!I:I,sales_dataset!G:G),"Not Found")</f>
        <v>UPI</v>
      </c>
    </row>
    <row r="836" spans="1:4">
      <c r="A836" s="4" t="s">
        <v>1192</v>
      </c>
      <c r="B836" t="str">
        <f>VLOOKUP(A836,sales_dataset!I:J,2,0)</f>
        <v>California</v>
      </c>
      <c r="C836" t="str">
        <f>VLOOKUP(A836,sales_dataset!I:K,3,0)</f>
        <v>Los Angeles</v>
      </c>
      <c r="D836" t="str">
        <f>IFERROR(_xlfn.XLOOKUP(A836,sales_dataset!I:I,sales_dataset!G:G),"Not Found")</f>
        <v>Debit Card</v>
      </c>
    </row>
    <row r="837" spans="1:4">
      <c r="A837" s="4" t="s">
        <v>1425</v>
      </c>
      <c r="B837" t="str">
        <f>VLOOKUP(A837,sales_dataset!I:J,2,0)</f>
        <v>Illinois</v>
      </c>
      <c r="C837" t="str">
        <f>VLOOKUP(A837,sales_dataset!I:K,3,0)</f>
        <v>Springfield</v>
      </c>
      <c r="D837" t="str">
        <f>IFERROR(_xlfn.XLOOKUP(A837,sales_dataset!I:I,sales_dataset!G:G),"Not Found")</f>
        <v>Credit Card</v>
      </c>
    </row>
    <row r="838" spans="1:4">
      <c r="A838" s="6" t="s">
        <v>1426</v>
      </c>
      <c r="B838" t="str">
        <f>VLOOKUP(A838,sales_dataset!I:J,2,0)</f>
        <v>New York</v>
      </c>
      <c r="C838" t="str">
        <f>VLOOKUP(A838,sales_dataset!I:K,3,0)</f>
        <v>Buffalo</v>
      </c>
      <c r="D838" t="str">
        <f>IFERROR(_xlfn.XLOOKUP(A838,sales_dataset!I:I,sales_dataset!G:G),"Not Found")</f>
        <v>Credit Card</v>
      </c>
    </row>
    <row r="839" spans="1:4">
      <c r="A839" s="4" t="s">
        <v>1428</v>
      </c>
      <c r="B839" t="str">
        <f>VLOOKUP(A839,sales_dataset!I:J,2,0)</f>
        <v>Ohio</v>
      </c>
      <c r="C839" t="str">
        <f>VLOOKUP(A839,sales_dataset!I:K,3,0)</f>
        <v>Columbus</v>
      </c>
      <c r="D839" t="str">
        <f>IFERROR(_xlfn.XLOOKUP(A839,sales_dataset!I:I,sales_dataset!G:G),"Not Found")</f>
        <v>Credit Card</v>
      </c>
    </row>
    <row r="840" spans="1:4">
      <c r="A840" s="6" t="s">
        <v>1430</v>
      </c>
      <c r="B840" t="str">
        <f>VLOOKUP(A840,sales_dataset!I:J,2,0)</f>
        <v>Illinois</v>
      </c>
      <c r="C840" t="str">
        <f>VLOOKUP(A840,sales_dataset!I:K,3,0)</f>
        <v>Chicago</v>
      </c>
      <c r="D840" t="str">
        <f>IFERROR(_xlfn.XLOOKUP(A840,sales_dataset!I:I,sales_dataset!G:G),"Not Found")</f>
        <v>Credit Card</v>
      </c>
    </row>
    <row r="841" spans="1:4">
      <c r="A841" s="4" t="s">
        <v>1432</v>
      </c>
      <c r="B841" t="str">
        <f>VLOOKUP(A841,sales_dataset!I:J,2,0)</f>
        <v>California</v>
      </c>
      <c r="C841" t="str">
        <f>VLOOKUP(A841,sales_dataset!I:K,3,0)</f>
        <v>Los Angeles</v>
      </c>
      <c r="D841" t="str">
        <f>IFERROR(_xlfn.XLOOKUP(A841,sales_dataset!I:I,sales_dataset!G:G),"Not Found")</f>
        <v>Credit Card</v>
      </c>
    </row>
    <row r="842" spans="1:4">
      <c r="A842" s="4" t="s">
        <v>1518</v>
      </c>
      <c r="B842" t="str">
        <f>VLOOKUP(A842,sales_dataset!I:J,2,0)</f>
        <v>New York</v>
      </c>
      <c r="C842" t="str">
        <f>VLOOKUP(A842,sales_dataset!I:K,3,0)</f>
        <v>New York City</v>
      </c>
      <c r="D842" t="str">
        <f>IFERROR(_xlfn.XLOOKUP(A842,sales_dataset!I:I,sales_dataset!G:G),"Not Found")</f>
        <v>Credit Card</v>
      </c>
    </row>
    <row r="843" spans="1:4">
      <c r="A843" s="4" t="s">
        <v>810</v>
      </c>
      <c r="B843" t="str">
        <f>VLOOKUP(A843,sales_dataset!I:J,2,0)</f>
        <v>Texas</v>
      </c>
      <c r="C843" t="str">
        <f>VLOOKUP(A843,sales_dataset!I:K,3,0)</f>
        <v>Dallas</v>
      </c>
      <c r="D843" t="str">
        <f>IFERROR(_xlfn.XLOOKUP(A843,sales_dataset!I:I,sales_dataset!G:G),"Not Found")</f>
        <v>Debit Card</v>
      </c>
    </row>
    <row r="844" spans="1:4">
      <c r="A844" s="6" t="s">
        <v>812</v>
      </c>
      <c r="B844" t="str">
        <f>VLOOKUP(A844,sales_dataset!I:J,2,0)</f>
        <v>Ohio</v>
      </c>
      <c r="C844" t="str">
        <f>VLOOKUP(A844,sales_dataset!I:K,3,0)</f>
        <v>Cincinnati</v>
      </c>
      <c r="D844" t="str">
        <f>IFERROR(_xlfn.XLOOKUP(A844,sales_dataset!I:I,sales_dataset!G:G),"Not Found")</f>
        <v>Debit Card</v>
      </c>
    </row>
    <row r="845" spans="1:4">
      <c r="A845" s="4" t="s">
        <v>1520</v>
      </c>
      <c r="B845" t="str">
        <f>VLOOKUP(A845,sales_dataset!I:J,2,0)</f>
        <v>Illinois</v>
      </c>
      <c r="C845" t="str">
        <f>VLOOKUP(A845,sales_dataset!I:K,3,0)</f>
        <v>Chicago</v>
      </c>
      <c r="D845" t="str">
        <f>IFERROR(_xlfn.XLOOKUP(A845,sales_dataset!I:I,sales_dataset!G:G),"Not Found")</f>
        <v>Debit Card</v>
      </c>
    </row>
    <row r="846" spans="1:4">
      <c r="A846" s="4" t="s">
        <v>1378</v>
      </c>
      <c r="B846" t="str">
        <f>VLOOKUP(A846,sales_dataset!I:J,2,0)</f>
        <v>Florida</v>
      </c>
      <c r="C846" t="str">
        <f>VLOOKUP(A846,sales_dataset!I:K,3,0)</f>
        <v>Orlando</v>
      </c>
      <c r="D846" t="str">
        <f>IFERROR(_xlfn.XLOOKUP(A846,sales_dataset!I:I,sales_dataset!G:G),"Not Found")</f>
        <v>EMI</v>
      </c>
    </row>
    <row r="847" spans="1:4">
      <c r="A847" s="6" t="s">
        <v>671</v>
      </c>
      <c r="B847" t="str">
        <f>VLOOKUP(A847,sales_dataset!I:J,2,0)</f>
        <v>Illinois</v>
      </c>
      <c r="C847" t="str">
        <f>VLOOKUP(A847,sales_dataset!I:K,3,0)</f>
        <v>Peoria</v>
      </c>
      <c r="D847" t="str">
        <f>IFERROR(_xlfn.XLOOKUP(A847,sales_dataset!I:I,sales_dataset!G:G),"Not Found")</f>
        <v>EMI</v>
      </c>
    </row>
    <row r="848" spans="1:4">
      <c r="A848" s="4" t="s">
        <v>1012</v>
      </c>
      <c r="B848" t="str">
        <f>VLOOKUP(A848,sales_dataset!I:J,2,0)</f>
        <v>California</v>
      </c>
      <c r="C848" t="str">
        <f>VLOOKUP(A848,sales_dataset!I:K,3,0)</f>
        <v>Los Angeles</v>
      </c>
      <c r="D848" t="str">
        <f>IFERROR(_xlfn.XLOOKUP(A848,sales_dataset!I:I,sales_dataset!G:G),"Not Found")</f>
        <v>COD</v>
      </c>
    </row>
    <row r="849" spans="1:4">
      <c r="A849" s="4" t="s">
        <v>270</v>
      </c>
      <c r="B849" t="str">
        <f>VLOOKUP(A849,sales_dataset!I:J,2,0)</f>
        <v>California</v>
      </c>
      <c r="C849" t="str">
        <f>VLOOKUP(A849,sales_dataset!I:K,3,0)</f>
        <v>San Francisco</v>
      </c>
      <c r="D849" t="str">
        <f>IFERROR(_xlfn.XLOOKUP(A849,sales_dataset!I:I,sales_dataset!G:G),"Not Found")</f>
        <v>UPI</v>
      </c>
    </row>
    <row r="850" spans="1:4">
      <c r="A850" s="6" t="s">
        <v>1522</v>
      </c>
      <c r="B850" t="str">
        <f>VLOOKUP(A850,sales_dataset!I:J,2,0)</f>
        <v>New York</v>
      </c>
      <c r="C850" t="str">
        <f>VLOOKUP(A850,sales_dataset!I:K,3,0)</f>
        <v>Buffalo</v>
      </c>
      <c r="D850" t="str">
        <f>IFERROR(_xlfn.XLOOKUP(A850,sales_dataset!I:I,sales_dataset!G:G),"Not Found")</f>
        <v>COD</v>
      </c>
    </row>
    <row r="851" spans="1:4">
      <c r="A851" s="4" t="s">
        <v>1524</v>
      </c>
      <c r="B851" t="str">
        <f>VLOOKUP(A851,sales_dataset!I:J,2,0)</f>
        <v>Texas</v>
      </c>
      <c r="C851" t="str">
        <f>VLOOKUP(A851,sales_dataset!I:K,3,0)</f>
        <v>Austin</v>
      </c>
      <c r="D851" t="str">
        <f>IFERROR(_xlfn.XLOOKUP(A851,sales_dataset!I:I,sales_dataset!G:G),"Not Found")</f>
        <v>COD</v>
      </c>
    </row>
    <row r="852" spans="1:4">
      <c r="A852" s="4" t="s">
        <v>1526</v>
      </c>
      <c r="B852" t="str">
        <f>VLOOKUP(A852,sales_dataset!I:J,2,0)</f>
        <v>Ohio</v>
      </c>
      <c r="C852" t="str">
        <f>VLOOKUP(A852,sales_dataset!I:K,3,0)</f>
        <v>Cleveland</v>
      </c>
      <c r="D852" t="str">
        <f>IFERROR(_xlfn.XLOOKUP(A852,sales_dataset!I:I,sales_dataset!G:G),"Not Found")</f>
        <v>EMI</v>
      </c>
    </row>
    <row r="853" spans="1:4">
      <c r="A853" s="6" t="s">
        <v>1527</v>
      </c>
      <c r="B853" t="str">
        <f>VLOOKUP(A853,sales_dataset!I:J,2,0)</f>
        <v>Texas</v>
      </c>
      <c r="C853" t="str">
        <f>VLOOKUP(A853,sales_dataset!I:K,3,0)</f>
        <v>Austin</v>
      </c>
      <c r="D853" t="str">
        <f>IFERROR(_xlfn.XLOOKUP(A853,sales_dataset!I:I,sales_dataset!G:G),"Not Found")</f>
        <v>EMI</v>
      </c>
    </row>
    <row r="854" spans="1:4">
      <c r="A854" s="4" t="s">
        <v>257</v>
      </c>
      <c r="B854" t="str">
        <f>VLOOKUP(A854,sales_dataset!I:J,2,0)</f>
        <v>California</v>
      </c>
      <c r="C854" t="str">
        <f>VLOOKUP(A854,sales_dataset!I:K,3,0)</f>
        <v>San Diego</v>
      </c>
      <c r="D854" t="str">
        <f>IFERROR(_xlfn.XLOOKUP(A854,sales_dataset!I:I,sales_dataset!G:G),"Not Found")</f>
        <v>UPI</v>
      </c>
    </row>
    <row r="855" spans="1:4">
      <c r="A855" s="6" t="s">
        <v>259</v>
      </c>
      <c r="B855" t="str">
        <f>VLOOKUP(A855,sales_dataset!I:J,2,0)</f>
        <v>Ohio</v>
      </c>
      <c r="C855" t="str">
        <f>VLOOKUP(A855,sales_dataset!I:K,3,0)</f>
        <v>Cincinnati</v>
      </c>
      <c r="D855" t="str">
        <f>IFERROR(_xlfn.XLOOKUP(A855,sales_dataset!I:I,sales_dataset!G:G),"Not Found")</f>
        <v>UPI</v>
      </c>
    </row>
    <row r="856" spans="1:4">
      <c r="A856" s="4" t="s">
        <v>261</v>
      </c>
      <c r="B856" t="str">
        <f>VLOOKUP(A856,sales_dataset!I:J,2,0)</f>
        <v>Texas</v>
      </c>
      <c r="C856" t="str">
        <f>VLOOKUP(A856,sales_dataset!I:K,3,0)</f>
        <v>Austin</v>
      </c>
      <c r="D856" t="str">
        <f>IFERROR(_xlfn.XLOOKUP(A856,sales_dataset!I:I,sales_dataset!G:G),"Not Found")</f>
        <v>UPI</v>
      </c>
    </row>
    <row r="857" spans="1:4">
      <c r="A857" s="6" t="s">
        <v>262</v>
      </c>
      <c r="B857" t="str">
        <f>VLOOKUP(A857,sales_dataset!I:J,2,0)</f>
        <v>Texas</v>
      </c>
      <c r="C857" t="str">
        <f>VLOOKUP(A857,sales_dataset!I:K,3,0)</f>
        <v>Dallas</v>
      </c>
      <c r="D857" t="str">
        <f>IFERROR(_xlfn.XLOOKUP(A857,sales_dataset!I:I,sales_dataset!G:G),"Not Found")</f>
        <v>UPI</v>
      </c>
    </row>
    <row r="858" spans="1:4">
      <c r="A858" s="4" t="s">
        <v>1529</v>
      </c>
      <c r="B858" t="str">
        <f>VLOOKUP(A858,sales_dataset!I:J,2,0)</f>
        <v>Texas</v>
      </c>
      <c r="C858" t="str">
        <f>VLOOKUP(A858,sales_dataset!I:K,3,0)</f>
        <v>Dallas</v>
      </c>
      <c r="D858" t="str">
        <f>IFERROR(_xlfn.XLOOKUP(A858,sales_dataset!I:I,sales_dataset!G:G),"Not Found")</f>
        <v>UPI</v>
      </c>
    </row>
    <row r="859" spans="1:4">
      <c r="A859" s="4" t="s">
        <v>1531</v>
      </c>
      <c r="B859" t="str">
        <f>VLOOKUP(A859,sales_dataset!I:J,2,0)</f>
        <v>Florida</v>
      </c>
      <c r="C859" t="str">
        <f>VLOOKUP(A859,sales_dataset!I:K,3,0)</f>
        <v>Orlando</v>
      </c>
      <c r="D859" t="str">
        <f>IFERROR(_xlfn.XLOOKUP(A859,sales_dataset!I:I,sales_dataset!G:G),"Not Found")</f>
        <v>Debit Card</v>
      </c>
    </row>
    <row r="860" spans="1:4">
      <c r="A860" s="4" t="s">
        <v>1258</v>
      </c>
      <c r="B860" t="str">
        <f>VLOOKUP(A860,sales_dataset!I:J,2,0)</f>
        <v>Texas</v>
      </c>
      <c r="C860" t="str">
        <f>VLOOKUP(A860,sales_dataset!I:K,3,0)</f>
        <v>Dallas</v>
      </c>
      <c r="D860" t="str">
        <f>IFERROR(_xlfn.XLOOKUP(A860,sales_dataset!I:I,sales_dataset!G:G),"Not Found")</f>
        <v>Debit Card</v>
      </c>
    </row>
    <row r="861" spans="1:4">
      <c r="A861" s="4" t="s">
        <v>328</v>
      </c>
      <c r="B861" t="str">
        <f>VLOOKUP(A861,sales_dataset!I:J,2,0)</f>
        <v>Florida</v>
      </c>
      <c r="C861" t="str">
        <f>VLOOKUP(A861,sales_dataset!I:K,3,0)</f>
        <v>Orlando</v>
      </c>
      <c r="D861" t="str">
        <f>IFERROR(_xlfn.XLOOKUP(A861,sales_dataset!I:I,sales_dataset!G:G),"Not Found")</f>
        <v>Debit Card</v>
      </c>
    </row>
    <row r="862" spans="1:4">
      <c r="A862" s="6" t="s">
        <v>330</v>
      </c>
      <c r="B862" t="str">
        <f>VLOOKUP(A862,sales_dataset!I:J,2,0)</f>
        <v>New York</v>
      </c>
      <c r="C862" t="str">
        <f>VLOOKUP(A862,sales_dataset!I:K,3,0)</f>
        <v>New York City</v>
      </c>
      <c r="D862" t="str">
        <f>IFERROR(_xlfn.XLOOKUP(A862,sales_dataset!I:I,sales_dataset!G:G),"Not Found")</f>
        <v>Debit Card</v>
      </c>
    </row>
    <row r="863" spans="1:4">
      <c r="A863" s="6" t="s">
        <v>1533</v>
      </c>
      <c r="B863" t="str">
        <f>VLOOKUP(A863,sales_dataset!I:J,2,0)</f>
        <v>California</v>
      </c>
      <c r="C863" t="str">
        <f>VLOOKUP(A863,sales_dataset!I:K,3,0)</f>
        <v>Los Angeles</v>
      </c>
      <c r="D863" t="str">
        <f>IFERROR(_xlfn.XLOOKUP(A863,sales_dataset!I:I,sales_dataset!G:G),"Not Found")</f>
        <v>Credit Card</v>
      </c>
    </row>
    <row r="864" spans="1:4">
      <c r="A864" s="4" t="s">
        <v>1535</v>
      </c>
      <c r="B864" t="str">
        <f>VLOOKUP(A864,sales_dataset!I:J,2,0)</f>
        <v>Ohio</v>
      </c>
      <c r="C864" t="str">
        <f>VLOOKUP(A864,sales_dataset!I:K,3,0)</f>
        <v>Columbus</v>
      </c>
      <c r="D864" t="str">
        <f>IFERROR(_xlfn.XLOOKUP(A864,sales_dataset!I:I,sales_dataset!G:G),"Not Found")</f>
        <v>Credit Card</v>
      </c>
    </row>
    <row r="865" spans="1:4">
      <c r="A865" s="6" t="s">
        <v>1194</v>
      </c>
      <c r="B865" t="str">
        <f>VLOOKUP(A865,sales_dataset!I:J,2,0)</f>
        <v>Texas</v>
      </c>
      <c r="C865" t="str">
        <f>VLOOKUP(A865,sales_dataset!I:K,3,0)</f>
        <v>Austin</v>
      </c>
      <c r="D865" t="str">
        <f>IFERROR(_xlfn.XLOOKUP(A865,sales_dataset!I:I,sales_dataset!G:G),"Not Found")</f>
        <v>Debit Card</v>
      </c>
    </row>
    <row r="866" spans="1:4">
      <c r="A866" s="4" t="s">
        <v>1196</v>
      </c>
      <c r="B866" t="str">
        <f>VLOOKUP(A866,sales_dataset!I:J,2,0)</f>
        <v>Illinois</v>
      </c>
      <c r="C866" t="str">
        <f>VLOOKUP(A866,sales_dataset!I:K,3,0)</f>
        <v>Chicago</v>
      </c>
      <c r="D866" t="str">
        <f>IFERROR(_xlfn.XLOOKUP(A866,sales_dataset!I:I,sales_dataset!G:G),"Not Found")</f>
        <v>Debit Card</v>
      </c>
    </row>
    <row r="867" spans="1:4">
      <c r="A867" s="4" t="s">
        <v>1224</v>
      </c>
      <c r="B867" t="str">
        <f>VLOOKUP(A867,sales_dataset!I:J,2,0)</f>
        <v>Illinois</v>
      </c>
      <c r="C867" t="str">
        <f>VLOOKUP(A867,sales_dataset!I:K,3,0)</f>
        <v>Chicago</v>
      </c>
      <c r="D867" t="str">
        <f>IFERROR(_xlfn.XLOOKUP(A867,sales_dataset!I:I,sales_dataset!G:G),"Not Found")</f>
        <v>EMI</v>
      </c>
    </row>
    <row r="868" spans="1:4">
      <c r="A868" s="4" t="s">
        <v>1537</v>
      </c>
      <c r="B868" t="str">
        <f>VLOOKUP(A868,sales_dataset!I:J,2,0)</f>
        <v>New York</v>
      </c>
      <c r="C868" t="str">
        <f>VLOOKUP(A868,sales_dataset!I:K,3,0)</f>
        <v>Buffalo</v>
      </c>
      <c r="D868" t="str">
        <f>IFERROR(_xlfn.XLOOKUP(A868,sales_dataset!I:I,sales_dataset!G:G),"Not Found")</f>
        <v>Credit Card</v>
      </c>
    </row>
    <row r="869" spans="1:4">
      <c r="A869" s="6" t="s">
        <v>1540</v>
      </c>
      <c r="B869" t="str">
        <f>VLOOKUP(A869,sales_dataset!I:J,2,0)</f>
        <v>New York</v>
      </c>
      <c r="C869" t="str">
        <f>VLOOKUP(A869,sales_dataset!I:K,3,0)</f>
        <v>New York City</v>
      </c>
      <c r="D869" t="str">
        <f>IFERROR(_xlfn.XLOOKUP(A869,sales_dataset!I:I,sales_dataset!G:G),"Not Found")</f>
        <v>Credit Card</v>
      </c>
    </row>
    <row r="870" spans="1:4">
      <c r="A870" s="4" t="s">
        <v>830</v>
      </c>
      <c r="B870" t="str">
        <f>VLOOKUP(A870,sales_dataset!I:J,2,0)</f>
        <v>New York</v>
      </c>
      <c r="C870" t="str">
        <f>VLOOKUP(A870,sales_dataset!I:K,3,0)</f>
        <v>Buffalo</v>
      </c>
      <c r="D870" t="str">
        <f>IFERROR(_xlfn.XLOOKUP(A870,sales_dataset!I:I,sales_dataset!G:G),"Not Found")</f>
        <v>UPI</v>
      </c>
    </row>
    <row r="871" spans="1:4">
      <c r="A871" s="6" t="s">
        <v>832</v>
      </c>
      <c r="B871" t="str">
        <f>VLOOKUP(A871,sales_dataset!I:J,2,0)</f>
        <v>Florida</v>
      </c>
      <c r="C871" t="str">
        <f>VLOOKUP(A871,sales_dataset!I:K,3,0)</f>
        <v>Tampa</v>
      </c>
      <c r="D871" t="str">
        <f>IFERROR(_xlfn.XLOOKUP(A871,sales_dataset!I:I,sales_dataset!G:G),"Not Found")</f>
        <v>UPI</v>
      </c>
    </row>
    <row r="872" spans="1:4">
      <c r="A872" s="4" t="s">
        <v>1543</v>
      </c>
      <c r="B872" t="str">
        <f>VLOOKUP(A872,sales_dataset!I:J,2,0)</f>
        <v>Illinois</v>
      </c>
      <c r="C872" t="str">
        <f>VLOOKUP(A872,sales_dataset!I:K,3,0)</f>
        <v>Chicago</v>
      </c>
      <c r="D872" t="str">
        <f>IFERROR(_xlfn.XLOOKUP(A872,sales_dataset!I:I,sales_dataset!G:G),"Not Found")</f>
        <v>Debit Card</v>
      </c>
    </row>
    <row r="873" spans="1:4">
      <c r="A873" s="6" t="s">
        <v>1546</v>
      </c>
      <c r="B873" t="str">
        <f>VLOOKUP(A873,sales_dataset!I:J,2,0)</f>
        <v>Ohio</v>
      </c>
      <c r="C873" t="str">
        <f>VLOOKUP(A873,sales_dataset!I:K,3,0)</f>
        <v>Columbus</v>
      </c>
      <c r="D873" t="str">
        <f>IFERROR(_xlfn.XLOOKUP(A873,sales_dataset!I:I,sales_dataset!G:G),"Not Found")</f>
        <v>Credit Card</v>
      </c>
    </row>
    <row r="874" spans="1:4">
      <c r="A874" s="4" t="s">
        <v>1548</v>
      </c>
      <c r="B874" t="str">
        <f>VLOOKUP(A874,sales_dataset!I:J,2,0)</f>
        <v>Texas</v>
      </c>
      <c r="C874" t="str">
        <f>VLOOKUP(A874,sales_dataset!I:K,3,0)</f>
        <v>Dallas</v>
      </c>
      <c r="D874" t="str">
        <f>IFERROR(_xlfn.XLOOKUP(A874,sales_dataset!I:I,sales_dataset!G:G),"Not Found")</f>
        <v>Credit Card</v>
      </c>
    </row>
    <row r="875" spans="1:4">
      <c r="A875" s="4" t="s">
        <v>399</v>
      </c>
      <c r="B875" t="str">
        <f>VLOOKUP(A875,sales_dataset!I:J,2,0)</f>
        <v>California</v>
      </c>
      <c r="C875" t="str">
        <f>VLOOKUP(A875,sales_dataset!I:K,3,0)</f>
        <v>San Diego</v>
      </c>
      <c r="D875" t="str">
        <f>IFERROR(_xlfn.XLOOKUP(A875,sales_dataset!I:I,sales_dataset!G:G),"Not Found")</f>
        <v>Debit Card</v>
      </c>
    </row>
    <row r="876" spans="1:4">
      <c r="A876" s="6" t="s">
        <v>1551</v>
      </c>
      <c r="B876" t="str">
        <f>VLOOKUP(A876,sales_dataset!I:J,2,0)</f>
        <v>Illinois</v>
      </c>
      <c r="C876" t="str">
        <f>VLOOKUP(A876,sales_dataset!I:K,3,0)</f>
        <v>Peoria</v>
      </c>
      <c r="D876" t="str">
        <f>IFERROR(_xlfn.XLOOKUP(A876,sales_dataset!I:I,sales_dataset!G:G),"Not Found")</f>
        <v>Credit Card</v>
      </c>
    </row>
    <row r="877" spans="1:4">
      <c r="A877" s="4" t="s">
        <v>1552</v>
      </c>
      <c r="B877" t="str">
        <f>VLOOKUP(A877,sales_dataset!I:J,2,0)</f>
        <v>Florida</v>
      </c>
      <c r="C877" t="str">
        <f>VLOOKUP(A877,sales_dataset!I:K,3,0)</f>
        <v>Tampa</v>
      </c>
      <c r="D877" t="str">
        <f>IFERROR(_xlfn.XLOOKUP(A877,sales_dataset!I:I,sales_dataset!G:G),"Not Found")</f>
        <v>Credit Card</v>
      </c>
    </row>
    <row r="878" spans="1:4">
      <c r="A878" s="4" t="s">
        <v>860</v>
      </c>
      <c r="B878" t="str">
        <f>VLOOKUP(A878,sales_dataset!I:J,2,0)</f>
        <v>Texas</v>
      </c>
      <c r="C878" t="str">
        <f>VLOOKUP(A878,sales_dataset!I:K,3,0)</f>
        <v>Austin</v>
      </c>
      <c r="D878" t="str">
        <f>IFERROR(_xlfn.XLOOKUP(A878,sales_dataset!I:I,sales_dataset!G:G),"Not Found")</f>
        <v>Credit Card</v>
      </c>
    </row>
    <row r="879" spans="1:4">
      <c r="A879" s="6" t="s">
        <v>861</v>
      </c>
      <c r="B879" t="str">
        <f>VLOOKUP(A879,sales_dataset!I:J,2,0)</f>
        <v>California</v>
      </c>
      <c r="C879" t="str">
        <f>VLOOKUP(A879,sales_dataset!I:K,3,0)</f>
        <v>Los Angeles</v>
      </c>
      <c r="D879" t="str">
        <f>IFERROR(_xlfn.XLOOKUP(A879,sales_dataset!I:I,sales_dataset!G:G),"Not Found")</f>
        <v>Credit Card</v>
      </c>
    </row>
    <row r="880" spans="1:4">
      <c r="A880" s="4" t="s">
        <v>1555</v>
      </c>
      <c r="B880" t="str">
        <f>VLOOKUP(A880,sales_dataset!I:J,2,0)</f>
        <v>New York</v>
      </c>
      <c r="C880" t="str">
        <f>VLOOKUP(A880,sales_dataset!I:K,3,0)</f>
        <v>Buffalo</v>
      </c>
      <c r="D880" t="str">
        <f>IFERROR(_xlfn.XLOOKUP(A880,sales_dataset!I:I,sales_dataset!G:G),"Not Found")</f>
        <v>COD</v>
      </c>
    </row>
    <row r="881" spans="1:4">
      <c r="A881" s="6" t="s">
        <v>1557</v>
      </c>
      <c r="B881" t="str">
        <f>VLOOKUP(A881,sales_dataset!I:J,2,0)</f>
        <v>Texas</v>
      </c>
      <c r="C881" t="str">
        <f>VLOOKUP(A881,sales_dataset!I:K,3,0)</f>
        <v>Houston</v>
      </c>
      <c r="D881" t="str">
        <f>IFERROR(_xlfn.XLOOKUP(A881,sales_dataset!I:I,sales_dataset!G:G),"Not Found")</f>
        <v>COD</v>
      </c>
    </row>
    <row r="882" spans="1:4">
      <c r="A882" s="6" t="s">
        <v>570</v>
      </c>
      <c r="B882" t="str">
        <f>VLOOKUP(A882,sales_dataset!I:J,2,0)</f>
        <v>Ohio</v>
      </c>
      <c r="C882" t="str">
        <f>VLOOKUP(A882,sales_dataset!I:K,3,0)</f>
        <v>Cleveland</v>
      </c>
      <c r="D882" t="str">
        <f>IFERROR(_xlfn.XLOOKUP(A882,sales_dataset!I:I,sales_dataset!G:G),"Not Found")</f>
        <v>COD</v>
      </c>
    </row>
    <row r="883" spans="1:4">
      <c r="A883" s="4" t="s">
        <v>572</v>
      </c>
      <c r="B883" t="str">
        <f>VLOOKUP(A883,sales_dataset!I:J,2,0)</f>
        <v>New York</v>
      </c>
      <c r="C883" t="str">
        <f>VLOOKUP(A883,sales_dataset!I:K,3,0)</f>
        <v>Rochester</v>
      </c>
      <c r="D883" t="str">
        <f>IFERROR(_xlfn.XLOOKUP(A883,sales_dataset!I:I,sales_dataset!G:G),"Not Found")</f>
        <v>COD</v>
      </c>
    </row>
    <row r="884" spans="1:4">
      <c r="A884" s="6" t="s">
        <v>574</v>
      </c>
      <c r="B884" t="str">
        <f>VLOOKUP(A884,sales_dataset!I:J,2,0)</f>
        <v>California</v>
      </c>
      <c r="C884" t="str">
        <f>VLOOKUP(A884,sales_dataset!I:K,3,0)</f>
        <v>Los Angeles</v>
      </c>
      <c r="D884" t="str">
        <f>IFERROR(_xlfn.XLOOKUP(A884,sales_dataset!I:I,sales_dataset!G:G),"Not Found")</f>
        <v>COD</v>
      </c>
    </row>
    <row r="885" spans="1:4">
      <c r="A885" s="6" t="s">
        <v>592</v>
      </c>
      <c r="B885" t="str">
        <f>VLOOKUP(A885,sales_dataset!I:J,2,0)</f>
        <v>Illinois</v>
      </c>
      <c r="C885" t="str">
        <f>VLOOKUP(A885,sales_dataset!I:K,3,0)</f>
        <v>Chicago</v>
      </c>
      <c r="D885" t="str">
        <f>IFERROR(_xlfn.XLOOKUP(A885,sales_dataset!I:I,sales_dataset!G:G),"Not Found")</f>
        <v>Credit Card</v>
      </c>
    </row>
    <row r="886" spans="1:4">
      <c r="A886" s="4" t="s">
        <v>593</v>
      </c>
      <c r="B886" t="str">
        <f>VLOOKUP(A886,sales_dataset!I:J,2,0)</f>
        <v>Texas</v>
      </c>
      <c r="C886" t="str">
        <f>VLOOKUP(A886,sales_dataset!I:K,3,0)</f>
        <v>Austin</v>
      </c>
      <c r="D886" t="str">
        <f>IFERROR(_xlfn.XLOOKUP(A886,sales_dataset!I:I,sales_dataset!G:G),"Not Found")</f>
        <v>Credit Card</v>
      </c>
    </row>
    <row r="887" spans="1:4">
      <c r="A887" s="6" t="s">
        <v>1560</v>
      </c>
      <c r="B887" t="str">
        <f>VLOOKUP(A887,sales_dataset!I:J,2,0)</f>
        <v>Texas</v>
      </c>
      <c r="C887" t="str">
        <f>VLOOKUP(A887,sales_dataset!I:K,3,0)</f>
        <v>Austin</v>
      </c>
      <c r="D887" t="str">
        <f>IFERROR(_xlfn.XLOOKUP(A887,sales_dataset!I:I,sales_dataset!G:G),"Not Found")</f>
        <v>COD</v>
      </c>
    </row>
    <row r="888" spans="1:4">
      <c r="A888" s="6" t="s">
        <v>584</v>
      </c>
      <c r="B888" t="str">
        <f>VLOOKUP(A888,sales_dataset!I:J,2,0)</f>
        <v>Illinois</v>
      </c>
      <c r="C888" t="str">
        <f>VLOOKUP(A888,sales_dataset!I:K,3,0)</f>
        <v>Chicago</v>
      </c>
      <c r="D888" t="str">
        <f>IFERROR(_xlfn.XLOOKUP(A888,sales_dataset!I:I,sales_dataset!G:G),"Not Found")</f>
        <v>UPI</v>
      </c>
    </row>
    <row r="889" spans="1:4">
      <c r="A889" s="4" t="s">
        <v>585</v>
      </c>
      <c r="B889" t="str">
        <f>VLOOKUP(A889,sales_dataset!I:J,2,0)</f>
        <v>New York</v>
      </c>
      <c r="C889" t="str">
        <f>VLOOKUP(A889,sales_dataset!I:K,3,0)</f>
        <v>Buffalo</v>
      </c>
      <c r="D889" t="str">
        <f>IFERROR(_xlfn.XLOOKUP(A889,sales_dataset!I:I,sales_dataset!G:G),"Not Found")</f>
        <v>UPI</v>
      </c>
    </row>
    <row r="890" spans="1:4">
      <c r="A890" s="6" t="s">
        <v>1095</v>
      </c>
      <c r="B890" t="str">
        <f>VLOOKUP(A890,sales_dataset!I:J,2,0)</f>
        <v>Texas</v>
      </c>
      <c r="C890" t="str">
        <f>VLOOKUP(A890,sales_dataset!I:K,3,0)</f>
        <v>Austin</v>
      </c>
      <c r="D890" t="str">
        <f>IFERROR(_xlfn.XLOOKUP(A890,sales_dataset!I:I,sales_dataset!G:G),"Not Found")</f>
        <v>UPI</v>
      </c>
    </row>
    <row r="891" spans="1:4">
      <c r="A891" s="6" t="s">
        <v>1562</v>
      </c>
      <c r="B891" t="str">
        <f>VLOOKUP(A891,sales_dataset!I:J,2,0)</f>
        <v>New York</v>
      </c>
      <c r="C891" t="str">
        <f>VLOOKUP(A891,sales_dataset!I:K,3,0)</f>
        <v>New York City</v>
      </c>
      <c r="D891" t="str">
        <f>IFERROR(_xlfn.XLOOKUP(A891,sales_dataset!I:I,sales_dataset!G:G),"Not Found")</f>
        <v>Debit Card</v>
      </c>
    </row>
    <row r="892" spans="1:4">
      <c r="A892" s="4" t="s">
        <v>1564</v>
      </c>
      <c r="B892" t="str">
        <f>VLOOKUP(A892,sales_dataset!I:J,2,0)</f>
        <v>Texas</v>
      </c>
      <c r="C892" t="str">
        <f>VLOOKUP(A892,sales_dataset!I:K,3,0)</f>
        <v>Austin</v>
      </c>
      <c r="D892" t="str">
        <f>IFERROR(_xlfn.XLOOKUP(A892,sales_dataset!I:I,sales_dataset!G:G),"Not Found")</f>
        <v>Credit Card</v>
      </c>
    </row>
    <row r="893" spans="1:4">
      <c r="A893" s="6" t="s">
        <v>1565</v>
      </c>
      <c r="B893" t="str">
        <f>VLOOKUP(A893,sales_dataset!I:J,2,0)</f>
        <v>Florida</v>
      </c>
      <c r="C893" t="str">
        <f>VLOOKUP(A893,sales_dataset!I:K,3,0)</f>
        <v>Tampa</v>
      </c>
      <c r="D893" t="str">
        <f>IFERROR(_xlfn.XLOOKUP(A893,sales_dataset!I:I,sales_dataset!G:G),"Not Found")</f>
        <v>Credit Card</v>
      </c>
    </row>
    <row r="894" spans="1:4">
      <c r="A894" s="4" t="s">
        <v>1566</v>
      </c>
      <c r="B894" t="str">
        <f>VLOOKUP(A894,sales_dataset!I:J,2,0)</f>
        <v>Florida</v>
      </c>
      <c r="C894" t="str">
        <f>VLOOKUP(A894,sales_dataset!I:K,3,0)</f>
        <v>Tampa</v>
      </c>
      <c r="D894" t="str">
        <f>IFERROR(_xlfn.XLOOKUP(A894,sales_dataset!I:I,sales_dataset!G:G),"Not Found")</f>
        <v>Credit Card</v>
      </c>
    </row>
    <row r="895" spans="1:4">
      <c r="A895" s="6" t="s">
        <v>561</v>
      </c>
      <c r="B895" t="str">
        <f>VLOOKUP(A895,sales_dataset!I:J,2,0)</f>
        <v>Texas</v>
      </c>
      <c r="C895" t="str">
        <f>VLOOKUP(A895,sales_dataset!I:K,3,0)</f>
        <v>Houston</v>
      </c>
      <c r="D895" t="str">
        <f>IFERROR(_xlfn.XLOOKUP(A895,sales_dataset!I:I,sales_dataset!G:G),"Not Found")</f>
        <v>COD</v>
      </c>
    </row>
    <row r="896" spans="1:4">
      <c r="A896" s="4" t="s">
        <v>563</v>
      </c>
      <c r="B896" t="str">
        <f>VLOOKUP(A896,sales_dataset!I:J,2,0)</f>
        <v>Illinois</v>
      </c>
      <c r="C896" t="str">
        <f>VLOOKUP(A896,sales_dataset!I:K,3,0)</f>
        <v>Chicago</v>
      </c>
      <c r="D896" t="str">
        <f>IFERROR(_xlfn.XLOOKUP(A896,sales_dataset!I:I,sales_dataset!G:G),"Not Found")</f>
        <v>COD</v>
      </c>
    </row>
    <row r="897" spans="1:4">
      <c r="A897" s="6" t="s">
        <v>565</v>
      </c>
      <c r="B897" t="str">
        <f>VLOOKUP(A897,sales_dataset!I:J,2,0)</f>
        <v>California</v>
      </c>
      <c r="C897" t="str">
        <f>VLOOKUP(A897,sales_dataset!I:K,3,0)</f>
        <v>San Francisco</v>
      </c>
      <c r="D897" t="str">
        <f>IFERROR(_xlfn.XLOOKUP(A897,sales_dataset!I:I,sales_dataset!G:G),"Not Found")</f>
        <v>COD</v>
      </c>
    </row>
    <row r="898" spans="1:4">
      <c r="A898" s="4" t="s">
        <v>1569</v>
      </c>
      <c r="B898" t="str">
        <f>VLOOKUP(A898,sales_dataset!I:J,2,0)</f>
        <v>Florida</v>
      </c>
      <c r="C898" t="str">
        <f>VLOOKUP(A898,sales_dataset!I:K,3,0)</f>
        <v>Miami</v>
      </c>
      <c r="D898" t="str">
        <f>IFERROR(_xlfn.XLOOKUP(A898,sales_dataset!I:I,sales_dataset!G:G),"Not Found")</f>
        <v>COD</v>
      </c>
    </row>
    <row r="899" spans="1:4">
      <c r="A899" s="4" t="s">
        <v>412</v>
      </c>
      <c r="B899" t="str">
        <f>VLOOKUP(A899,sales_dataset!I:J,2,0)</f>
        <v>Texas</v>
      </c>
      <c r="C899" t="str">
        <f>VLOOKUP(A899,sales_dataset!I:K,3,0)</f>
        <v>Austin</v>
      </c>
      <c r="D899" t="str">
        <f>IFERROR(_xlfn.XLOOKUP(A899,sales_dataset!I:I,sales_dataset!G:G),"Not Found")</f>
        <v>Debit Card</v>
      </c>
    </row>
    <row r="900" spans="1:4">
      <c r="A900" s="6" t="s">
        <v>414</v>
      </c>
      <c r="B900" t="str">
        <f>VLOOKUP(A900,sales_dataset!I:J,2,0)</f>
        <v>Ohio</v>
      </c>
      <c r="C900" t="str">
        <f>VLOOKUP(A900,sales_dataset!I:K,3,0)</f>
        <v>Cincinnati</v>
      </c>
      <c r="D900" t="str">
        <f>IFERROR(_xlfn.XLOOKUP(A900,sales_dataset!I:I,sales_dataset!G:G),"Not Found")</f>
        <v>Debit Card</v>
      </c>
    </row>
    <row r="901" spans="1:4">
      <c r="A901" s="4" t="s">
        <v>415</v>
      </c>
      <c r="B901" t="str">
        <f>VLOOKUP(A901,sales_dataset!I:J,2,0)</f>
        <v>Texas</v>
      </c>
      <c r="C901" t="str">
        <f>VLOOKUP(A901,sales_dataset!I:K,3,0)</f>
        <v>Dallas</v>
      </c>
      <c r="D901" t="str">
        <f>IFERROR(_xlfn.XLOOKUP(A901,sales_dataset!I:I,sales_dataset!G:G),"Not Found")</f>
        <v>Debit Card</v>
      </c>
    </row>
    <row r="902" spans="1:4">
      <c r="A902" s="6" t="s">
        <v>1383</v>
      </c>
      <c r="B902" t="str">
        <f>VLOOKUP(A902,sales_dataset!I:J,2,0)</f>
        <v>Ohio</v>
      </c>
      <c r="C902" t="str">
        <f>VLOOKUP(A902,sales_dataset!I:K,3,0)</f>
        <v>Cleveland</v>
      </c>
      <c r="D902" t="str">
        <f>IFERROR(_xlfn.XLOOKUP(A902,sales_dataset!I:I,sales_dataset!G:G),"Not Found")</f>
        <v>COD</v>
      </c>
    </row>
    <row r="903" spans="1:4">
      <c r="A903" s="4" t="s">
        <v>1571</v>
      </c>
      <c r="B903" t="str">
        <f>VLOOKUP(A903,sales_dataset!I:J,2,0)</f>
        <v>New York</v>
      </c>
      <c r="C903" t="str">
        <f>VLOOKUP(A903,sales_dataset!I:K,3,0)</f>
        <v>New York City</v>
      </c>
      <c r="D903" t="str">
        <f>IFERROR(_xlfn.XLOOKUP(A903,sales_dataset!I:I,sales_dataset!G:G),"Not Found")</f>
        <v>Credit Card</v>
      </c>
    </row>
    <row r="904" spans="1:4">
      <c r="A904" s="6" t="s">
        <v>490</v>
      </c>
      <c r="B904" t="str">
        <f>VLOOKUP(A904,sales_dataset!I:J,2,0)</f>
        <v>New York</v>
      </c>
      <c r="C904" t="str">
        <f>VLOOKUP(A904,sales_dataset!I:K,3,0)</f>
        <v>Buffalo</v>
      </c>
      <c r="D904" t="str">
        <f>IFERROR(_xlfn.XLOOKUP(A904,sales_dataset!I:I,sales_dataset!G:G),"Not Found")</f>
        <v>EMI</v>
      </c>
    </row>
    <row r="905" spans="1:4">
      <c r="A905" s="4" t="s">
        <v>492</v>
      </c>
      <c r="B905" t="str">
        <f>VLOOKUP(A905,sales_dataset!I:J,2,0)</f>
        <v>Ohio</v>
      </c>
      <c r="C905" t="str">
        <f>VLOOKUP(A905,sales_dataset!I:K,3,0)</f>
        <v>Cleveland</v>
      </c>
      <c r="D905" t="str">
        <f>IFERROR(_xlfn.XLOOKUP(A905,sales_dataset!I:I,sales_dataset!G:G),"Not Found")</f>
        <v>EMI</v>
      </c>
    </row>
    <row r="906" spans="1:4">
      <c r="A906" s="4" t="s">
        <v>656</v>
      </c>
      <c r="B906" t="str">
        <f>VLOOKUP(A906,sales_dataset!I:J,2,0)</f>
        <v>Ohio</v>
      </c>
      <c r="C906" t="str">
        <f>VLOOKUP(A906,sales_dataset!I:K,3,0)</f>
        <v>Cincinnati</v>
      </c>
      <c r="D906" t="str">
        <f>IFERROR(_xlfn.XLOOKUP(A906,sales_dataset!I:I,sales_dataset!G:G),"Not Found")</f>
        <v>Credit Card</v>
      </c>
    </row>
    <row r="907" spans="1:4">
      <c r="A907" s="6" t="s">
        <v>657</v>
      </c>
      <c r="B907" t="str">
        <f>VLOOKUP(A907,sales_dataset!I:J,2,0)</f>
        <v>California</v>
      </c>
      <c r="C907" t="str">
        <f>VLOOKUP(A907,sales_dataset!I:K,3,0)</f>
        <v>San Diego</v>
      </c>
      <c r="D907" t="str">
        <f>IFERROR(_xlfn.XLOOKUP(A907,sales_dataset!I:I,sales_dataset!G:G),"Not Found")</f>
        <v>Credit Card</v>
      </c>
    </row>
    <row r="908" spans="1:4">
      <c r="A908" s="6" t="s">
        <v>1574</v>
      </c>
      <c r="B908" t="str">
        <f>VLOOKUP(A908,sales_dataset!I:J,2,0)</f>
        <v>New York</v>
      </c>
      <c r="C908" t="str">
        <f>VLOOKUP(A908,sales_dataset!I:K,3,0)</f>
        <v>New York City</v>
      </c>
      <c r="D908" t="str">
        <f>IFERROR(_xlfn.XLOOKUP(A908,sales_dataset!I:I,sales_dataset!G:G),"Not Found")</f>
        <v>EMI</v>
      </c>
    </row>
    <row r="909" spans="1:4">
      <c r="A909" s="6" t="s">
        <v>1577</v>
      </c>
      <c r="B909" t="str">
        <f>VLOOKUP(A909,sales_dataset!I:J,2,0)</f>
        <v>New York</v>
      </c>
      <c r="C909" t="str">
        <f>VLOOKUP(A909,sales_dataset!I:K,3,0)</f>
        <v>Buffalo</v>
      </c>
      <c r="D909" t="str">
        <f>IFERROR(_xlfn.XLOOKUP(A909,sales_dataset!I:I,sales_dataset!G:G),"Not Found")</f>
        <v>Credit Card</v>
      </c>
    </row>
    <row r="910" spans="1:4">
      <c r="A910" s="4" t="s">
        <v>1578</v>
      </c>
      <c r="B910" t="str">
        <f>VLOOKUP(A910,sales_dataset!I:J,2,0)</f>
        <v>New York</v>
      </c>
      <c r="C910" t="str">
        <f>VLOOKUP(A910,sales_dataset!I:K,3,0)</f>
        <v>Rochester</v>
      </c>
      <c r="D910" t="str">
        <f>IFERROR(_xlfn.XLOOKUP(A910,sales_dataset!I:I,sales_dataset!G:G),"Not Found")</f>
        <v>Credit Card</v>
      </c>
    </row>
    <row r="911" spans="1:4">
      <c r="A911" s="4" t="s">
        <v>1580</v>
      </c>
      <c r="B911" t="str">
        <f>VLOOKUP(A911,sales_dataset!I:J,2,0)</f>
        <v>Florida</v>
      </c>
      <c r="C911" t="str">
        <f>VLOOKUP(A911,sales_dataset!I:K,3,0)</f>
        <v>Miami</v>
      </c>
      <c r="D911" t="str">
        <f>IFERROR(_xlfn.XLOOKUP(A911,sales_dataset!I:I,sales_dataset!G:G),"Not Found")</f>
        <v>Credit Card</v>
      </c>
    </row>
    <row r="912" spans="1:4">
      <c r="A912" s="4" t="s">
        <v>1515</v>
      </c>
      <c r="B912" t="str">
        <f>VLOOKUP(A912,sales_dataset!I:J,2,0)</f>
        <v>Illinois</v>
      </c>
      <c r="C912" t="str">
        <f>VLOOKUP(A912,sales_dataset!I:K,3,0)</f>
        <v>Chicago</v>
      </c>
      <c r="D912" t="str">
        <f>IFERROR(_xlfn.XLOOKUP(A912,sales_dataset!I:I,sales_dataset!G:G),"Not Found")</f>
        <v>UPI</v>
      </c>
    </row>
    <row r="913" spans="1:4">
      <c r="A913" s="6" t="s">
        <v>803</v>
      </c>
      <c r="B913" t="str">
        <f>VLOOKUP(A913,sales_dataset!I:J,2,0)</f>
        <v>New York</v>
      </c>
      <c r="C913" t="str">
        <f>VLOOKUP(A913,sales_dataset!I:K,3,0)</f>
        <v>New York City</v>
      </c>
      <c r="D913" t="str">
        <f>IFERROR(_xlfn.XLOOKUP(A913,sales_dataset!I:I,sales_dataset!G:G),"Not Found")</f>
        <v>COD</v>
      </c>
    </row>
    <row r="914" spans="1:4">
      <c r="A914" s="4" t="s">
        <v>1583</v>
      </c>
      <c r="B914" t="str">
        <f>VLOOKUP(A914,sales_dataset!I:J,2,0)</f>
        <v>Illinois</v>
      </c>
      <c r="C914" t="str">
        <f>VLOOKUP(A914,sales_dataset!I:K,3,0)</f>
        <v>Peoria</v>
      </c>
      <c r="D914" t="str">
        <f>IFERROR(_xlfn.XLOOKUP(A914,sales_dataset!I:I,sales_dataset!G:G),"Not Found")</f>
        <v>Debit Card</v>
      </c>
    </row>
    <row r="915" spans="1:4">
      <c r="A915" s="6" t="s">
        <v>1585</v>
      </c>
      <c r="B915" t="str">
        <f>VLOOKUP(A915,sales_dataset!I:J,2,0)</f>
        <v>California</v>
      </c>
      <c r="C915" t="str">
        <f>VLOOKUP(A915,sales_dataset!I:K,3,0)</f>
        <v>Los Angeles</v>
      </c>
      <c r="D915" t="str">
        <f>IFERROR(_xlfn.XLOOKUP(A915,sales_dataset!I:I,sales_dataset!G:G),"Not Found")</f>
        <v>Debit Card</v>
      </c>
    </row>
    <row r="916" spans="1:4">
      <c r="A916" s="6" t="s">
        <v>1587</v>
      </c>
      <c r="B916" t="str">
        <f>VLOOKUP(A916,sales_dataset!I:J,2,0)</f>
        <v>California</v>
      </c>
      <c r="C916" t="str">
        <f>VLOOKUP(A916,sales_dataset!I:K,3,0)</f>
        <v>Los Angeles</v>
      </c>
      <c r="D916" t="str">
        <f>IFERROR(_xlfn.XLOOKUP(A916,sales_dataset!I:I,sales_dataset!G:G),"Not Found")</f>
        <v>UPI</v>
      </c>
    </row>
    <row r="917" spans="1:4">
      <c r="A917" s="4" t="s">
        <v>1588</v>
      </c>
      <c r="B917" t="str">
        <f>VLOOKUP(A917,sales_dataset!I:J,2,0)</f>
        <v>Florida</v>
      </c>
      <c r="C917" t="str">
        <f>VLOOKUP(A917,sales_dataset!I:K,3,0)</f>
        <v>Miami</v>
      </c>
      <c r="D917" t="str">
        <f>IFERROR(_xlfn.XLOOKUP(A917,sales_dataset!I:I,sales_dataset!G:G),"Not Found")</f>
        <v>UPI</v>
      </c>
    </row>
    <row r="918" spans="1:4">
      <c r="A918" s="4" t="s">
        <v>134</v>
      </c>
      <c r="B918" t="str">
        <f>VLOOKUP(A918,sales_dataset!I:J,2,0)</f>
        <v>Ohio</v>
      </c>
      <c r="C918" t="str">
        <f>VLOOKUP(A918,sales_dataset!I:K,3,0)</f>
        <v>Cleveland</v>
      </c>
      <c r="D918" t="str">
        <f>IFERROR(_xlfn.XLOOKUP(A918,sales_dataset!I:I,sales_dataset!G:G),"Not Found")</f>
        <v>UPI</v>
      </c>
    </row>
    <row r="919" spans="1:4">
      <c r="A919" s="6" t="s">
        <v>135</v>
      </c>
      <c r="B919" t="str">
        <f>VLOOKUP(A919,sales_dataset!I:J,2,0)</f>
        <v>Florida</v>
      </c>
      <c r="C919" t="str">
        <f>VLOOKUP(A919,sales_dataset!I:K,3,0)</f>
        <v>Tampa</v>
      </c>
      <c r="D919" t="str">
        <f>IFERROR(_xlfn.XLOOKUP(A919,sales_dataset!I:I,sales_dataset!G:G),"Not Found")</f>
        <v>UPI</v>
      </c>
    </row>
    <row r="920" spans="1:4">
      <c r="A920" s="4" t="s">
        <v>240</v>
      </c>
      <c r="B920" t="str">
        <f>VLOOKUP(A920,sales_dataset!I:J,2,0)</f>
        <v>Florida</v>
      </c>
      <c r="C920" t="str">
        <f>VLOOKUP(A920,sales_dataset!I:K,3,0)</f>
        <v>Tampa</v>
      </c>
      <c r="D920" t="str">
        <f>IFERROR(_xlfn.XLOOKUP(A920,sales_dataset!I:I,sales_dataset!G:G),"Not Found")</f>
        <v>EMI</v>
      </c>
    </row>
    <row r="921" spans="1:4">
      <c r="A921" s="6" t="s">
        <v>1590</v>
      </c>
      <c r="B921" t="str">
        <f>VLOOKUP(A921,sales_dataset!I:J,2,0)</f>
        <v>New York</v>
      </c>
      <c r="C921" t="str">
        <f>VLOOKUP(A921,sales_dataset!I:K,3,0)</f>
        <v>New York City</v>
      </c>
      <c r="D921" t="str">
        <f>IFERROR(_xlfn.XLOOKUP(A921,sales_dataset!I:I,sales_dataset!G:G),"Not Found")</f>
        <v>UPI</v>
      </c>
    </row>
    <row r="922" spans="1:4">
      <c r="A922" s="4" t="s">
        <v>1591</v>
      </c>
      <c r="B922" t="str">
        <f>VLOOKUP(A922,sales_dataset!I:J,2,0)</f>
        <v>New York</v>
      </c>
      <c r="C922" t="str">
        <f>VLOOKUP(A922,sales_dataset!I:K,3,0)</f>
        <v>Buffalo</v>
      </c>
      <c r="D922" t="str">
        <f>IFERROR(_xlfn.XLOOKUP(A922,sales_dataset!I:I,sales_dataset!G:G),"Not Found")</f>
        <v>UPI</v>
      </c>
    </row>
    <row r="923" spans="1:4">
      <c r="A923" s="6" t="s">
        <v>1592</v>
      </c>
      <c r="B923" t="str">
        <f>VLOOKUP(A923,sales_dataset!I:J,2,0)</f>
        <v>Texas</v>
      </c>
      <c r="C923" t="str">
        <f>VLOOKUP(A923,sales_dataset!I:K,3,0)</f>
        <v>Dallas</v>
      </c>
      <c r="D923" t="str">
        <f>IFERROR(_xlfn.XLOOKUP(A923,sales_dataset!I:I,sales_dataset!G:G),"Not Found")</f>
        <v>UPI</v>
      </c>
    </row>
    <row r="924" spans="1:4">
      <c r="A924" s="6" t="s">
        <v>1594</v>
      </c>
      <c r="B924" t="str">
        <f>VLOOKUP(A924,sales_dataset!I:J,2,0)</f>
        <v>California</v>
      </c>
      <c r="C924" t="str">
        <f>VLOOKUP(A924,sales_dataset!I:K,3,0)</f>
        <v>San Diego</v>
      </c>
      <c r="D924" t="str">
        <f>IFERROR(_xlfn.XLOOKUP(A924,sales_dataset!I:I,sales_dataset!G:G),"Not Found")</f>
        <v>Debit Card</v>
      </c>
    </row>
    <row r="925" spans="1:4">
      <c r="A925" s="4" t="s">
        <v>1596</v>
      </c>
      <c r="B925" t="str">
        <f>VLOOKUP(A925,sales_dataset!I:J,2,0)</f>
        <v>Florida</v>
      </c>
      <c r="C925" t="str">
        <f>VLOOKUP(A925,sales_dataset!I:K,3,0)</f>
        <v>Orlando</v>
      </c>
      <c r="D925" t="str">
        <f>IFERROR(_xlfn.XLOOKUP(A925,sales_dataset!I:I,sales_dataset!G:G),"Not Found")</f>
        <v>Debit Card</v>
      </c>
    </row>
    <row r="926" spans="1:4">
      <c r="A926" s="6" t="s">
        <v>1597</v>
      </c>
      <c r="B926" t="str">
        <f>VLOOKUP(A926,sales_dataset!I:J,2,0)</f>
        <v>California</v>
      </c>
      <c r="C926" t="str">
        <f>VLOOKUP(A926,sales_dataset!I:K,3,0)</f>
        <v>San Francisco</v>
      </c>
      <c r="D926" t="str">
        <f>IFERROR(_xlfn.XLOOKUP(A926,sales_dataset!I:I,sales_dataset!G:G),"Not Found")</f>
        <v>Debit Card</v>
      </c>
    </row>
    <row r="927" spans="1:4">
      <c r="A927" s="6" t="s">
        <v>1599</v>
      </c>
      <c r="B927" t="str">
        <f>VLOOKUP(A927,sales_dataset!I:J,2,0)</f>
        <v>Ohio</v>
      </c>
      <c r="C927" t="str">
        <f>VLOOKUP(A927,sales_dataset!I:K,3,0)</f>
        <v>Cleveland</v>
      </c>
      <c r="D927" t="str">
        <f>IFERROR(_xlfn.XLOOKUP(A927,sales_dataset!I:I,sales_dataset!G:G),"Not Found")</f>
        <v>COD</v>
      </c>
    </row>
    <row r="928" spans="1:4">
      <c r="A928" s="6" t="s">
        <v>1601</v>
      </c>
      <c r="B928" t="str">
        <f>VLOOKUP(A928,sales_dataset!I:J,2,0)</f>
        <v>California</v>
      </c>
      <c r="C928" t="str">
        <f>VLOOKUP(A928,sales_dataset!I:K,3,0)</f>
        <v>San Francisco</v>
      </c>
      <c r="D928" t="str">
        <f>IFERROR(_xlfn.XLOOKUP(A928,sales_dataset!I:I,sales_dataset!G:G),"Not Found")</f>
        <v>COD</v>
      </c>
    </row>
    <row r="929" spans="1:4">
      <c r="A929" s="4" t="s">
        <v>1602</v>
      </c>
      <c r="B929" t="str">
        <f>VLOOKUP(A929,sales_dataset!I:J,2,0)</f>
        <v>Ohio</v>
      </c>
      <c r="C929" t="str">
        <f>VLOOKUP(A929,sales_dataset!I:K,3,0)</f>
        <v>Cleveland</v>
      </c>
      <c r="D929" t="str">
        <f>IFERROR(_xlfn.XLOOKUP(A929,sales_dataset!I:I,sales_dataset!G:G),"Not Found")</f>
        <v>COD</v>
      </c>
    </row>
    <row r="930" spans="1:4">
      <c r="A930" s="4" t="s">
        <v>1604</v>
      </c>
      <c r="B930" t="str">
        <f>VLOOKUP(A930,sales_dataset!I:J,2,0)</f>
        <v>Illinois</v>
      </c>
      <c r="C930" t="str">
        <f>VLOOKUP(A930,sales_dataset!I:K,3,0)</f>
        <v>Peoria</v>
      </c>
      <c r="D930" t="str">
        <f>IFERROR(_xlfn.XLOOKUP(A930,sales_dataset!I:I,sales_dataset!G:G),"Not Found")</f>
        <v>Debit Card</v>
      </c>
    </row>
    <row r="931" spans="1:4">
      <c r="A931" s="6" t="s">
        <v>1605</v>
      </c>
      <c r="B931" t="str">
        <f>VLOOKUP(A931,sales_dataset!I:J,2,0)</f>
        <v>New York</v>
      </c>
      <c r="C931" t="str">
        <f>VLOOKUP(A931,sales_dataset!I:K,3,0)</f>
        <v>Buffalo</v>
      </c>
      <c r="D931" t="str">
        <f>IFERROR(_xlfn.XLOOKUP(A931,sales_dataset!I:I,sales_dataset!G:G),"Not Found")</f>
        <v>Debit Card</v>
      </c>
    </row>
    <row r="932" spans="1:4">
      <c r="A932" s="4" t="s">
        <v>1607</v>
      </c>
      <c r="B932" t="str">
        <f>VLOOKUP(A932,sales_dataset!I:J,2,0)</f>
        <v>Ohio</v>
      </c>
      <c r="C932" t="str">
        <f>VLOOKUP(A932,sales_dataset!I:K,3,0)</f>
        <v>Columbus</v>
      </c>
      <c r="D932" t="str">
        <f>IFERROR(_xlfn.XLOOKUP(A932,sales_dataset!I:I,sales_dataset!G:G),"Not Found")</f>
        <v>Debit Card</v>
      </c>
    </row>
    <row r="933" spans="1:4">
      <c r="A933" s="4" t="s">
        <v>344</v>
      </c>
      <c r="B933" t="str">
        <f>VLOOKUP(A933,sales_dataset!I:J,2,0)</f>
        <v>New York</v>
      </c>
      <c r="C933" t="str">
        <f>VLOOKUP(A933,sales_dataset!I:K,3,0)</f>
        <v>Buffalo</v>
      </c>
      <c r="D933" t="str">
        <f>IFERROR(_xlfn.XLOOKUP(A933,sales_dataset!I:I,sales_dataset!G:G),"Not Found")</f>
        <v>EMI</v>
      </c>
    </row>
    <row r="934" spans="1:4">
      <c r="A934" s="6" t="s">
        <v>346</v>
      </c>
      <c r="B934" t="str">
        <f>VLOOKUP(A934,sales_dataset!I:J,2,0)</f>
        <v>California</v>
      </c>
      <c r="C934" t="str">
        <f>VLOOKUP(A934,sales_dataset!I:K,3,0)</f>
        <v>San Francisco</v>
      </c>
      <c r="D934" t="str">
        <f>IFERROR(_xlfn.XLOOKUP(A934,sales_dataset!I:I,sales_dataset!G:G),"Not Found")</f>
        <v>EMI</v>
      </c>
    </row>
    <row r="935" spans="1:4">
      <c r="A935" s="6" t="s">
        <v>1609</v>
      </c>
      <c r="B935" t="str">
        <f>VLOOKUP(A935,sales_dataset!I:J,2,0)</f>
        <v>California</v>
      </c>
      <c r="C935" t="str">
        <f>VLOOKUP(A935,sales_dataset!I:K,3,0)</f>
        <v>San Francisco</v>
      </c>
      <c r="D935" t="str">
        <f>IFERROR(_xlfn.XLOOKUP(A935,sales_dataset!I:I,sales_dataset!G:G),"Not Found")</f>
        <v>EMI</v>
      </c>
    </row>
    <row r="936" spans="1:4">
      <c r="A936" s="4" t="s">
        <v>1610</v>
      </c>
      <c r="B936" t="str">
        <f>VLOOKUP(A936,sales_dataset!I:J,2,0)</f>
        <v>Ohio</v>
      </c>
      <c r="C936" t="str">
        <f>VLOOKUP(A936,sales_dataset!I:K,3,0)</f>
        <v>Cleveland</v>
      </c>
      <c r="D936" t="str">
        <f>IFERROR(_xlfn.XLOOKUP(A936,sales_dataset!I:I,sales_dataset!G:G),"Not Found")</f>
        <v>EMI</v>
      </c>
    </row>
    <row r="937" spans="1:4">
      <c r="A937" s="4" t="s">
        <v>1409</v>
      </c>
      <c r="B937" t="str">
        <f>VLOOKUP(A937,sales_dataset!I:J,2,0)</f>
        <v>New York</v>
      </c>
      <c r="C937" t="str">
        <f>VLOOKUP(A937,sales_dataset!I:K,3,0)</f>
        <v>New York City</v>
      </c>
      <c r="D937" t="str">
        <f>IFERROR(_xlfn.XLOOKUP(A937,sales_dataset!I:I,sales_dataset!G:G),"Not Found")</f>
        <v>UPI</v>
      </c>
    </row>
    <row r="938" spans="1:4">
      <c r="A938" s="6" t="s">
        <v>1026</v>
      </c>
      <c r="B938" t="str">
        <f>VLOOKUP(A938,sales_dataset!I:J,2,0)</f>
        <v>Ohio</v>
      </c>
      <c r="C938" t="str">
        <f>VLOOKUP(A938,sales_dataset!I:K,3,0)</f>
        <v>Cincinnati</v>
      </c>
      <c r="D938" t="str">
        <f>IFERROR(_xlfn.XLOOKUP(A938,sales_dataset!I:I,sales_dataset!G:G),"Not Found")</f>
        <v>Debit Card</v>
      </c>
    </row>
    <row r="939" spans="1:4">
      <c r="A939" s="4" t="s">
        <v>1027</v>
      </c>
      <c r="B939" t="str">
        <f>VLOOKUP(A939,sales_dataset!I:J,2,0)</f>
        <v>Ohio</v>
      </c>
      <c r="C939" t="str">
        <f>VLOOKUP(A939,sales_dataset!I:K,3,0)</f>
        <v>Cleveland</v>
      </c>
      <c r="D939" t="str">
        <f>IFERROR(_xlfn.XLOOKUP(A939,sales_dataset!I:I,sales_dataset!G:G),"Not Found")</f>
        <v>Debit Card</v>
      </c>
    </row>
    <row r="940" spans="1:4">
      <c r="A940" s="6" t="s">
        <v>1028</v>
      </c>
      <c r="B940" t="str">
        <f>VLOOKUP(A940,sales_dataset!I:J,2,0)</f>
        <v>Illinois</v>
      </c>
      <c r="C940" t="str">
        <f>VLOOKUP(A940,sales_dataset!I:K,3,0)</f>
        <v>Chicago</v>
      </c>
      <c r="D940" t="str">
        <f>IFERROR(_xlfn.XLOOKUP(A940,sales_dataset!I:I,sales_dataset!G:G),"Not Found")</f>
        <v>Debit Card</v>
      </c>
    </row>
    <row r="941" spans="1:4">
      <c r="A941" s="6" t="s">
        <v>1234</v>
      </c>
      <c r="B941" t="str">
        <f>VLOOKUP(A941,sales_dataset!I:J,2,0)</f>
        <v>Florida</v>
      </c>
      <c r="C941" t="str">
        <f>VLOOKUP(A941,sales_dataset!I:K,3,0)</f>
        <v>Miami</v>
      </c>
      <c r="D941" t="str">
        <f>IFERROR(_xlfn.XLOOKUP(A941,sales_dataset!I:I,sales_dataset!G:G),"Not Found")</f>
        <v>COD</v>
      </c>
    </row>
    <row r="942" spans="1:4">
      <c r="A942" s="6" t="s">
        <v>1613</v>
      </c>
      <c r="B942" t="str">
        <f>VLOOKUP(A942,sales_dataset!I:J,2,0)</f>
        <v>Texas</v>
      </c>
      <c r="C942" t="str">
        <f>VLOOKUP(A942,sales_dataset!I:K,3,0)</f>
        <v>Dallas</v>
      </c>
      <c r="D942" t="str">
        <f>IFERROR(_xlfn.XLOOKUP(A942,sales_dataset!I:I,sales_dataset!G:G),"Not Found")</f>
        <v>Credit Card</v>
      </c>
    </row>
    <row r="943" spans="1:4">
      <c r="A943" s="6" t="s">
        <v>1616</v>
      </c>
      <c r="B943" t="str">
        <f>VLOOKUP(A943,sales_dataset!I:J,2,0)</f>
        <v>Texas</v>
      </c>
      <c r="C943" t="str">
        <f>VLOOKUP(A943,sales_dataset!I:K,3,0)</f>
        <v>Houston</v>
      </c>
      <c r="D943" t="str">
        <f>IFERROR(_xlfn.XLOOKUP(A943,sales_dataset!I:I,sales_dataset!G:G),"Not Found")</f>
        <v>Credit Card</v>
      </c>
    </row>
    <row r="944" spans="1:4">
      <c r="A944" s="4" t="s">
        <v>1619</v>
      </c>
      <c r="B944" t="str">
        <f>VLOOKUP(A944,sales_dataset!I:J,2,0)</f>
        <v>California</v>
      </c>
      <c r="C944" t="str">
        <f>VLOOKUP(A944,sales_dataset!I:K,3,0)</f>
        <v>San Francisco</v>
      </c>
      <c r="D944" t="str">
        <f>IFERROR(_xlfn.XLOOKUP(A944,sales_dataset!I:I,sales_dataset!G:G),"Not Found")</f>
        <v>UPI</v>
      </c>
    </row>
    <row r="945" spans="1:4">
      <c r="A945" s="4" t="s">
        <v>1522</v>
      </c>
      <c r="B945" t="str">
        <f>VLOOKUP(A945,sales_dataset!I:J,2,0)</f>
        <v>New York</v>
      </c>
      <c r="C945" t="str">
        <f>VLOOKUP(A945,sales_dataset!I:K,3,0)</f>
        <v>Buffalo</v>
      </c>
      <c r="D945" t="str">
        <f>IFERROR(_xlfn.XLOOKUP(A945,sales_dataset!I:I,sales_dataset!G:G),"Not Found")</f>
        <v>COD</v>
      </c>
    </row>
    <row r="946" spans="1:4">
      <c r="A946" s="4" t="s">
        <v>1621</v>
      </c>
      <c r="B946" t="str">
        <f>VLOOKUP(A946,sales_dataset!I:J,2,0)</f>
        <v>New York</v>
      </c>
      <c r="C946" t="str">
        <f>VLOOKUP(A946,sales_dataset!I:K,3,0)</f>
        <v>New York City</v>
      </c>
      <c r="D946" t="str">
        <f>IFERROR(_xlfn.XLOOKUP(A946,sales_dataset!I:I,sales_dataset!G:G),"Not Found")</f>
        <v>UPI</v>
      </c>
    </row>
    <row r="947" spans="1:4">
      <c r="A947" s="4" t="s">
        <v>1624</v>
      </c>
      <c r="B947" t="str">
        <f>VLOOKUP(A947,sales_dataset!I:J,2,0)</f>
        <v>New York</v>
      </c>
      <c r="C947" t="str">
        <f>VLOOKUP(A947,sales_dataset!I:K,3,0)</f>
        <v>Rochester</v>
      </c>
      <c r="D947" t="str">
        <f>IFERROR(_xlfn.XLOOKUP(A947,sales_dataset!I:I,sales_dataset!G:G),"Not Found")</f>
        <v>UPI</v>
      </c>
    </row>
    <row r="948" spans="1:4">
      <c r="A948" s="6" t="s">
        <v>1012</v>
      </c>
      <c r="B948" t="str">
        <f>VLOOKUP(A948,sales_dataset!I:J,2,0)</f>
        <v>California</v>
      </c>
      <c r="C948" t="str">
        <f>VLOOKUP(A948,sales_dataset!I:K,3,0)</f>
        <v>Los Angeles</v>
      </c>
      <c r="D948" t="str">
        <f>IFERROR(_xlfn.XLOOKUP(A948,sales_dataset!I:I,sales_dataset!G:G),"Not Found")</f>
        <v>COD</v>
      </c>
    </row>
    <row r="949" spans="1:4">
      <c r="A949" s="4" t="s">
        <v>189</v>
      </c>
      <c r="B949" t="str">
        <f>VLOOKUP(A949,sales_dataset!I:J,2,0)</f>
        <v>Illinois</v>
      </c>
      <c r="C949" t="str">
        <f>VLOOKUP(A949,sales_dataset!I:K,3,0)</f>
        <v>Springfield</v>
      </c>
      <c r="D949" t="str">
        <f>IFERROR(_xlfn.XLOOKUP(A949,sales_dataset!I:I,sales_dataset!G:G),"Not Found")</f>
        <v>Credit Card</v>
      </c>
    </row>
    <row r="950" spans="1:4">
      <c r="A950" s="6" t="s">
        <v>240</v>
      </c>
      <c r="B950" t="str">
        <f>VLOOKUP(A950,sales_dataset!I:J,2,0)</f>
        <v>Florida</v>
      </c>
      <c r="C950" t="str">
        <f>VLOOKUP(A950,sales_dataset!I:K,3,0)</f>
        <v>Tampa</v>
      </c>
      <c r="D950" t="str">
        <f>IFERROR(_xlfn.XLOOKUP(A950,sales_dataset!I:I,sales_dataset!G:G),"Not Found")</f>
        <v>EMI</v>
      </c>
    </row>
    <row r="951" spans="1:4">
      <c r="A951" s="4" t="s">
        <v>1626</v>
      </c>
      <c r="B951" t="str">
        <f>VLOOKUP(A951,sales_dataset!I:J,2,0)</f>
        <v>California</v>
      </c>
      <c r="C951" t="str">
        <f>VLOOKUP(A951,sales_dataset!I:K,3,0)</f>
        <v>San Francisco</v>
      </c>
      <c r="D951" t="str">
        <f>IFERROR(_xlfn.XLOOKUP(A951,sales_dataset!I:I,sales_dataset!G:G),"Not Found")</f>
        <v>COD</v>
      </c>
    </row>
    <row r="952" spans="1:4">
      <c r="A952" s="6" t="s">
        <v>1627</v>
      </c>
      <c r="B952" t="str">
        <f>VLOOKUP(A952,sales_dataset!I:J,2,0)</f>
        <v>New York</v>
      </c>
      <c r="C952" t="str">
        <f>VLOOKUP(A952,sales_dataset!I:K,3,0)</f>
        <v>New York City</v>
      </c>
      <c r="D952" t="str">
        <f>IFERROR(_xlfn.XLOOKUP(A952,sales_dataset!I:I,sales_dataset!G:G),"Not Found")</f>
        <v>COD</v>
      </c>
    </row>
    <row r="953" spans="1:4">
      <c r="A953" s="4" t="s">
        <v>1629</v>
      </c>
      <c r="B953" t="str">
        <f>VLOOKUP(A953,sales_dataset!I:J,2,0)</f>
        <v>California</v>
      </c>
      <c r="C953" t="str">
        <f>VLOOKUP(A953,sales_dataset!I:K,3,0)</f>
        <v>San Francisco</v>
      </c>
      <c r="D953" t="str">
        <f>IFERROR(_xlfn.XLOOKUP(A953,sales_dataset!I:I,sales_dataset!G:G),"Not Found")</f>
        <v>COD</v>
      </c>
    </row>
    <row r="954" spans="1:4">
      <c r="A954" s="6" t="s">
        <v>1631</v>
      </c>
      <c r="B954" t="str">
        <f>VLOOKUP(A954,sales_dataset!I:J,2,0)</f>
        <v>Ohio</v>
      </c>
      <c r="C954" t="str">
        <f>VLOOKUP(A954,sales_dataset!I:K,3,0)</f>
        <v>Cleveland</v>
      </c>
      <c r="D954" t="str">
        <f>IFERROR(_xlfn.XLOOKUP(A954,sales_dataset!I:I,sales_dataset!G:G),"Not Found")</f>
        <v>COD</v>
      </c>
    </row>
    <row r="955" spans="1:4">
      <c r="A955" s="4" t="s">
        <v>1633</v>
      </c>
      <c r="B955" t="str">
        <f>VLOOKUP(A955,sales_dataset!I:J,2,0)</f>
        <v>California</v>
      </c>
      <c r="C955" t="str">
        <f>VLOOKUP(A955,sales_dataset!I:K,3,0)</f>
        <v>San Diego</v>
      </c>
      <c r="D955" t="str">
        <f>IFERROR(_xlfn.XLOOKUP(A955,sales_dataset!I:I,sales_dataset!G:G),"Not Found")</f>
        <v>COD</v>
      </c>
    </row>
    <row r="956" spans="1:4">
      <c r="A956" s="6" t="s">
        <v>381</v>
      </c>
      <c r="B956" t="str">
        <f>VLOOKUP(A956,sales_dataset!I:J,2,0)</f>
        <v>Texas</v>
      </c>
      <c r="C956" t="str">
        <f>VLOOKUP(A956,sales_dataset!I:K,3,0)</f>
        <v>Dallas</v>
      </c>
      <c r="D956" t="str">
        <f>IFERROR(_xlfn.XLOOKUP(A956,sales_dataset!I:I,sales_dataset!G:G),"Not Found")</f>
        <v>Credit Card</v>
      </c>
    </row>
    <row r="957" spans="1:4">
      <c r="A957" s="6" t="s">
        <v>1636</v>
      </c>
      <c r="B957" t="str">
        <f>VLOOKUP(A957,sales_dataset!I:J,2,0)</f>
        <v>California</v>
      </c>
      <c r="C957" t="str">
        <f>VLOOKUP(A957,sales_dataset!I:K,3,0)</f>
        <v>San Francisco</v>
      </c>
      <c r="D957" t="str">
        <f>IFERROR(_xlfn.XLOOKUP(A957,sales_dataset!I:I,sales_dataset!G:G),"Not Found")</f>
        <v>Debit Card</v>
      </c>
    </row>
    <row r="958" spans="1:4">
      <c r="A958" s="4" t="s">
        <v>1639</v>
      </c>
      <c r="B958" t="str">
        <f>VLOOKUP(A958,sales_dataset!I:J,2,0)</f>
        <v>Ohio</v>
      </c>
      <c r="C958" t="str">
        <f>VLOOKUP(A958,sales_dataset!I:K,3,0)</f>
        <v>Cincinnati</v>
      </c>
      <c r="D958" t="str">
        <f>IFERROR(_xlfn.XLOOKUP(A958,sales_dataset!I:I,sales_dataset!G:G),"Not Found")</f>
        <v>EMI</v>
      </c>
    </row>
    <row r="959" spans="1:4">
      <c r="A959" s="6" t="s">
        <v>1641</v>
      </c>
      <c r="B959" t="str">
        <f>VLOOKUP(A959,sales_dataset!I:J,2,0)</f>
        <v>California</v>
      </c>
      <c r="C959" t="str">
        <f>VLOOKUP(A959,sales_dataset!I:K,3,0)</f>
        <v>Los Angeles</v>
      </c>
      <c r="D959" t="str">
        <f>IFERROR(_xlfn.XLOOKUP(A959,sales_dataset!I:I,sales_dataset!G:G),"Not Found")</f>
        <v>EMI</v>
      </c>
    </row>
    <row r="960" spans="1:4">
      <c r="A960" s="4" t="s">
        <v>1642</v>
      </c>
      <c r="B960" t="str">
        <f>VLOOKUP(A960,sales_dataset!I:J,2,0)</f>
        <v>Ohio</v>
      </c>
      <c r="C960" t="str">
        <f>VLOOKUP(A960,sales_dataset!I:K,3,0)</f>
        <v>Cincinnati</v>
      </c>
      <c r="D960" t="str">
        <f>IFERROR(_xlfn.XLOOKUP(A960,sales_dataset!I:I,sales_dataset!G:G),"Not Found")</f>
        <v>EMI</v>
      </c>
    </row>
    <row r="961" spans="1:4">
      <c r="A961" s="6" t="s">
        <v>1644</v>
      </c>
      <c r="B961" t="str">
        <f>VLOOKUP(A961,sales_dataset!I:J,2,0)</f>
        <v>Texas</v>
      </c>
      <c r="C961" t="str">
        <f>VLOOKUP(A961,sales_dataset!I:K,3,0)</f>
        <v>Houston</v>
      </c>
      <c r="D961" t="str">
        <f>IFERROR(_xlfn.XLOOKUP(A961,sales_dataset!I:I,sales_dataset!G:G),"Not Found")</f>
        <v>EMI</v>
      </c>
    </row>
    <row r="962" spans="1:4">
      <c r="A962" s="6" t="s">
        <v>1647</v>
      </c>
      <c r="B962" t="str">
        <f>VLOOKUP(A962,sales_dataset!I:J,2,0)</f>
        <v>California</v>
      </c>
      <c r="C962" t="str">
        <f>VLOOKUP(A962,sales_dataset!I:K,3,0)</f>
        <v>Los Angeles</v>
      </c>
      <c r="D962" t="str">
        <f>IFERROR(_xlfn.XLOOKUP(A962,sales_dataset!I:I,sales_dataset!G:G),"Not Found")</f>
        <v>Debit Card</v>
      </c>
    </row>
    <row r="963" spans="1:4">
      <c r="A963" s="4" t="s">
        <v>1649</v>
      </c>
      <c r="B963" t="str">
        <f>VLOOKUP(A963,sales_dataset!I:J,2,0)</f>
        <v>Illinois</v>
      </c>
      <c r="C963" t="str">
        <f>VLOOKUP(A963,sales_dataset!I:K,3,0)</f>
        <v>Chicago</v>
      </c>
      <c r="D963" t="str">
        <f>IFERROR(_xlfn.XLOOKUP(A963,sales_dataset!I:I,sales_dataset!G:G),"Not Found")</f>
        <v>Debit Card</v>
      </c>
    </row>
    <row r="964" spans="1:4">
      <c r="A964" s="4" t="s">
        <v>1651</v>
      </c>
      <c r="B964" t="str">
        <f>VLOOKUP(A964,sales_dataset!I:J,2,0)</f>
        <v>Texas</v>
      </c>
      <c r="C964" t="str">
        <f>VLOOKUP(A964,sales_dataset!I:K,3,0)</f>
        <v>Austin</v>
      </c>
      <c r="D964" t="str">
        <f>IFERROR(_xlfn.XLOOKUP(A964,sales_dataset!I:I,sales_dataset!G:G),"Not Found")</f>
        <v>COD</v>
      </c>
    </row>
    <row r="965" spans="1:4">
      <c r="A965" s="6" t="s">
        <v>1653</v>
      </c>
      <c r="B965" t="str">
        <f>VLOOKUP(A965,sales_dataset!I:J,2,0)</f>
        <v>Ohio</v>
      </c>
      <c r="C965" t="str">
        <f>VLOOKUP(A965,sales_dataset!I:K,3,0)</f>
        <v>Cleveland</v>
      </c>
      <c r="D965" t="str">
        <f>IFERROR(_xlfn.XLOOKUP(A965,sales_dataset!I:I,sales_dataset!G:G),"Not Found")</f>
        <v>UPI</v>
      </c>
    </row>
    <row r="966" spans="1:4">
      <c r="A966" s="4" t="s">
        <v>1655</v>
      </c>
      <c r="B966" t="str">
        <f>VLOOKUP(A966,sales_dataset!I:J,2,0)</f>
        <v>California</v>
      </c>
      <c r="C966" t="str">
        <f>VLOOKUP(A966,sales_dataset!I:K,3,0)</f>
        <v>Los Angeles</v>
      </c>
      <c r="D966" t="str">
        <f>IFERROR(_xlfn.XLOOKUP(A966,sales_dataset!I:I,sales_dataset!G:G),"Not Found")</f>
        <v>UPI</v>
      </c>
    </row>
    <row r="967" spans="1:4">
      <c r="A967" s="6" t="s">
        <v>1657</v>
      </c>
      <c r="B967" t="str">
        <f>VLOOKUP(A967,sales_dataset!I:J,2,0)</f>
        <v>New York</v>
      </c>
      <c r="C967" t="str">
        <f>VLOOKUP(A967,sales_dataset!I:K,3,0)</f>
        <v>Rochester</v>
      </c>
      <c r="D967" t="str">
        <f>IFERROR(_xlfn.XLOOKUP(A967,sales_dataset!I:I,sales_dataset!G:G),"Not Found")</f>
        <v>UPI</v>
      </c>
    </row>
    <row r="968" spans="1:4">
      <c r="A968" s="4" t="s">
        <v>1660</v>
      </c>
      <c r="B968" t="str">
        <f>VLOOKUP(A968,sales_dataset!I:J,2,0)</f>
        <v>Florida</v>
      </c>
      <c r="C968" t="str">
        <f>VLOOKUP(A968,sales_dataset!I:K,3,0)</f>
        <v>Miami</v>
      </c>
      <c r="D968" t="str">
        <f>IFERROR(_xlfn.XLOOKUP(A968,sales_dataset!I:I,sales_dataset!G:G),"Not Found")</f>
        <v>COD</v>
      </c>
    </row>
    <row r="969" spans="1:4">
      <c r="A969" s="6" t="s">
        <v>579</v>
      </c>
      <c r="B969" t="str">
        <f>VLOOKUP(A969,sales_dataset!I:J,2,0)</f>
        <v>Florida</v>
      </c>
      <c r="C969" t="str">
        <f>VLOOKUP(A969,sales_dataset!I:K,3,0)</f>
        <v>Miami</v>
      </c>
      <c r="D969" t="str">
        <f>IFERROR(_xlfn.XLOOKUP(A969,sales_dataset!I:I,sales_dataset!G:G),"Not Found")</f>
        <v>UPI</v>
      </c>
    </row>
    <row r="970" spans="1:4">
      <c r="A970" s="6" t="s">
        <v>579</v>
      </c>
      <c r="B970" t="str">
        <f>VLOOKUP(A970,sales_dataset!I:J,2,0)</f>
        <v>Florida</v>
      </c>
      <c r="C970" t="str">
        <f>VLOOKUP(A970,sales_dataset!I:K,3,0)</f>
        <v>Miami</v>
      </c>
      <c r="D970" t="str">
        <f>IFERROR(_xlfn.XLOOKUP(A970,sales_dataset!I:I,sales_dataset!G:G),"Not Found")</f>
        <v>UPI</v>
      </c>
    </row>
    <row r="971" spans="1:4">
      <c r="A971" s="6" t="s">
        <v>679</v>
      </c>
      <c r="B971" t="str">
        <f>VLOOKUP(A971,sales_dataset!I:J,2,0)</f>
        <v>Illinois</v>
      </c>
      <c r="C971" t="str">
        <f>VLOOKUP(A971,sales_dataset!I:K,3,0)</f>
        <v>Peoria</v>
      </c>
      <c r="D971" t="str">
        <f>IFERROR(_xlfn.XLOOKUP(A971,sales_dataset!I:I,sales_dataset!G:G),"Not Found")</f>
        <v>UPI</v>
      </c>
    </row>
    <row r="972" spans="1:4">
      <c r="A972" s="4" t="s">
        <v>681</v>
      </c>
      <c r="B972" t="str">
        <f>VLOOKUP(A972,sales_dataset!I:J,2,0)</f>
        <v>New York</v>
      </c>
      <c r="C972" t="str">
        <f>VLOOKUP(A972,sales_dataset!I:K,3,0)</f>
        <v>Rochester</v>
      </c>
      <c r="D972" t="str">
        <f>IFERROR(_xlfn.XLOOKUP(A972,sales_dataset!I:I,sales_dataset!G:G),"Not Found")</f>
        <v>UPI</v>
      </c>
    </row>
    <row r="973" spans="1:4">
      <c r="A973" s="6" t="s">
        <v>683</v>
      </c>
      <c r="B973" t="str">
        <f>VLOOKUP(A973,sales_dataset!I:J,2,0)</f>
        <v>California</v>
      </c>
      <c r="C973" t="str">
        <f>VLOOKUP(A973,sales_dataset!I:K,3,0)</f>
        <v>San Diego</v>
      </c>
      <c r="D973" t="str">
        <f>IFERROR(_xlfn.XLOOKUP(A973,sales_dataset!I:I,sales_dataset!G:G),"Not Found")</f>
        <v>UPI</v>
      </c>
    </row>
    <row r="974" spans="1:4">
      <c r="A974" s="4" t="s">
        <v>750</v>
      </c>
      <c r="B974" t="str">
        <f>VLOOKUP(A974,sales_dataset!I:J,2,0)</f>
        <v>California</v>
      </c>
      <c r="C974" t="str">
        <f>VLOOKUP(A974,sales_dataset!I:K,3,0)</f>
        <v>San Diego</v>
      </c>
      <c r="D974" t="str">
        <f>IFERROR(_xlfn.XLOOKUP(A974,sales_dataset!I:I,sales_dataset!G:G),"Not Found")</f>
        <v>UPI</v>
      </c>
    </row>
    <row r="975" spans="1:4">
      <c r="A975" s="4" t="s">
        <v>1278</v>
      </c>
      <c r="B975" t="str">
        <f>VLOOKUP(A975,sales_dataset!I:J,2,0)</f>
        <v>Florida</v>
      </c>
      <c r="C975" t="str">
        <f>VLOOKUP(A975,sales_dataset!I:K,3,0)</f>
        <v>Orlando</v>
      </c>
      <c r="D975" t="str">
        <f>IFERROR(_xlfn.XLOOKUP(A975,sales_dataset!I:I,sales_dataset!G:G),"Not Found")</f>
        <v>Debit Card</v>
      </c>
    </row>
    <row r="976" spans="1:4">
      <c r="A976" s="6" t="s">
        <v>1663</v>
      </c>
      <c r="B976" t="str">
        <f>VLOOKUP(A976,sales_dataset!I:J,2,0)</f>
        <v>Texas</v>
      </c>
      <c r="C976" t="str">
        <f>VLOOKUP(A976,sales_dataset!I:K,3,0)</f>
        <v>Dallas</v>
      </c>
      <c r="D976" t="str">
        <f>IFERROR(_xlfn.XLOOKUP(A976,sales_dataset!I:I,sales_dataset!G:G),"Not Found")</f>
        <v>COD</v>
      </c>
    </row>
    <row r="977" spans="1:4">
      <c r="A977" s="6" t="s">
        <v>1665</v>
      </c>
      <c r="B977" t="str">
        <f>VLOOKUP(A977,sales_dataset!I:J,2,0)</f>
        <v>Illinois</v>
      </c>
      <c r="C977" t="str">
        <f>VLOOKUP(A977,sales_dataset!I:K,3,0)</f>
        <v>Springfield</v>
      </c>
      <c r="D977" t="str">
        <f>IFERROR(_xlfn.XLOOKUP(A977,sales_dataset!I:I,sales_dataset!G:G),"Not Found")</f>
        <v>EMI</v>
      </c>
    </row>
    <row r="978" spans="1:4">
      <c r="A978" s="6" t="s">
        <v>1667</v>
      </c>
      <c r="B978" t="str">
        <f>VLOOKUP(A978,sales_dataset!I:J,2,0)</f>
        <v>New York</v>
      </c>
      <c r="C978" t="str">
        <f>VLOOKUP(A978,sales_dataset!I:K,3,0)</f>
        <v>Rochester</v>
      </c>
      <c r="D978" t="str">
        <f>IFERROR(_xlfn.XLOOKUP(A978,sales_dataset!I:I,sales_dataset!G:G),"Not Found")</f>
        <v>Debit Card</v>
      </c>
    </row>
    <row r="979" spans="1:4">
      <c r="A979" s="4" t="s">
        <v>1669</v>
      </c>
      <c r="B979" t="str">
        <f>VLOOKUP(A979,sales_dataset!I:J,2,0)</f>
        <v>New York</v>
      </c>
      <c r="C979" t="str">
        <f>VLOOKUP(A979,sales_dataset!I:K,3,0)</f>
        <v>Buffalo</v>
      </c>
      <c r="D979" t="str">
        <f>IFERROR(_xlfn.XLOOKUP(A979,sales_dataset!I:I,sales_dataset!G:G),"Not Found")</f>
        <v>Credit Card</v>
      </c>
    </row>
    <row r="980" spans="1:4">
      <c r="A980" s="4" t="s">
        <v>1671</v>
      </c>
      <c r="B980" t="str">
        <f>VLOOKUP(A980,sales_dataset!I:J,2,0)</f>
        <v>Florida</v>
      </c>
      <c r="C980" t="str">
        <f>VLOOKUP(A980,sales_dataset!I:K,3,0)</f>
        <v>Miami</v>
      </c>
      <c r="D980" t="str">
        <f>IFERROR(_xlfn.XLOOKUP(A980,sales_dataset!I:I,sales_dataset!G:G),"Not Found")</f>
        <v>Credit Card</v>
      </c>
    </row>
    <row r="981" spans="1:4">
      <c r="A981" s="6" t="s">
        <v>1673</v>
      </c>
      <c r="B981" t="str">
        <f>VLOOKUP(A981,sales_dataset!I:J,2,0)</f>
        <v>California</v>
      </c>
      <c r="C981" t="str">
        <f>VLOOKUP(A981,sales_dataset!I:K,3,0)</f>
        <v>San Diego</v>
      </c>
      <c r="D981" t="str">
        <f>IFERROR(_xlfn.XLOOKUP(A981,sales_dataset!I:I,sales_dataset!G:G),"Not Found")</f>
        <v>Credit Card</v>
      </c>
    </row>
    <row r="982" spans="1:4">
      <c r="A982" s="6" t="s">
        <v>1647</v>
      </c>
      <c r="B982" t="str">
        <f>VLOOKUP(A982,sales_dataset!I:J,2,0)</f>
        <v>California</v>
      </c>
      <c r="C982" t="str">
        <f>VLOOKUP(A982,sales_dataset!I:K,3,0)</f>
        <v>Los Angeles</v>
      </c>
      <c r="D982" t="str">
        <f>IFERROR(_xlfn.XLOOKUP(A982,sales_dataset!I:I,sales_dataset!G:G),"Not Found")</f>
        <v>Debit Card</v>
      </c>
    </row>
    <row r="983" spans="1:4">
      <c r="A983" s="4" t="s">
        <v>1649</v>
      </c>
      <c r="B983" t="str">
        <f>VLOOKUP(A983,sales_dataset!I:J,2,0)</f>
        <v>Illinois</v>
      </c>
      <c r="C983" t="str">
        <f>VLOOKUP(A983,sales_dataset!I:K,3,0)</f>
        <v>Chicago</v>
      </c>
      <c r="D983" t="str">
        <f>IFERROR(_xlfn.XLOOKUP(A983,sales_dataset!I:I,sales_dataset!G:G),"Not Found")</f>
        <v>Debit Card</v>
      </c>
    </row>
    <row r="984" spans="1:4">
      <c r="A984" s="6" t="s">
        <v>1248</v>
      </c>
      <c r="B984" t="str">
        <f>VLOOKUP(A984,sales_dataset!I:J,2,0)</f>
        <v>Florida</v>
      </c>
      <c r="C984" t="str">
        <f>VLOOKUP(A984,sales_dataset!I:K,3,0)</f>
        <v>Tampa</v>
      </c>
      <c r="D984" t="str">
        <f>IFERROR(_xlfn.XLOOKUP(A984,sales_dataset!I:I,sales_dataset!G:G),"Not Found")</f>
        <v>COD</v>
      </c>
    </row>
    <row r="985" spans="1:4">
      <c r="A985" s="4" t="s">
        <v>299</v>
      </c>
      <c r="B985" t="str">
        <f>VLOOKUP(A985,sales_dataset!I:J,2,0)</f>
        <v>Florida</v>
      </c>
      <c r="C985" t="str">
        <f>VLOOKUP(A985,sales_dataset!I:K,3,0)</f>
        <v>Orlando</v>
      </c>
      <c r="D985" t="str">
        <f>IFERROR(_xlfn.XLOOKUP(A985,sales_dataset!I:I,sales_dataset!G:G),"Not Found")</f>
        <v>UPI</v>
      </c>
    </row>
    <row r="986" spans="1:4">
      <c r="A986" s="4" t="s">
        <v>527</v>
      </c>
      <c r="B986" t="str">
        <f>VLOOKUP(A986,sales_dataset!I:J,2,0)</f>
        <v>Ohio</v>
      </c>
      <c r="C986" t="str">
        <f>VLOOKUP(A986,sales_dataset!I:K,3,0)</f>
        <v>Cincinnati</v>
      </c>
      <c r="D986" t="str">
        <f>IFERROR(_xlfn.XLOOKUP(A986,sales_dataset!I:I,sales_dataset!G:G),"Not Found")</f>
        <v>Credit Card</v>
      </c>
    </row>
    <row r="987" spans="1:4">
      <c r="A987" s="4" t="s">
        <v>1594</v>
      </c>
      <c r="B987" t="str">
        <f>VLOOKUP(A987,sales_dataset!I:J,2,0)</f>
        <v>California</v>
      </c>
      <c r="C987" t="str">
        <f>VLOOKUP(A987,sales_dataset!I:K,3,0)</f>
        <v>San Diego</v>
      </c>
      <c r="D987" t="str">
        <f>IFERROR(_xlfn.XLOOKUP(A987,sales_dataset!I:I,sales_dataset!G:G),"Not Found")</f>
        <v>Debit Card</v>
      </c>
    </row>
    <row r="988" spans="1:4">
      <c r="A988" s="6" t="s">
        <v>1596</v>
      </c>
      <c r="B988" t="str">
        <f>VLOOKUP(A988,sales_dataset!I:J,2,0)</f>
        <v>Florida</v>
      </c>
      <c r="C988" t="str">
        <f>VLOOKUP(A988,sales_dataset!I:K,3,0)</f>
        <v>Orlando</v>
      </c>
      <c r="D988" t="str">
        <f>IFERROR(_xlfn.XLOOKUP(A988,sales_dataset!I:I,sales_dataset!G:G),"Not Found")</f>
        <v>Debit Card</v>
      </c>
    </row>
    <row r="989" spans="1:4">
      <c r="A989" s="4" t="s">
        <v>1597</v>
      </c>
      <c r="B989" t="str">
        <f>VLOOKUP(A989,sales_dataset!I:J,2,0)</f>
        <v>California</v>
      </c>
      <c r="C989" t="str">
        <f>VLOOKUP(A989,sales_dataset!I:K,3,0)</f>
        <v>San Francisco</v>
      </c>
      <c r="D989" t="str">
        <f>IFERROR(_xlfn.XLOOKUP(A989,sales_dataset!I:I,sales_dataset!G:G),"Not Found")</f>
        <v>Debit Card</v>
      </c>
    </row>
    <row r="990" spans="1:4">
      <c r="A990" s="4" t="s">
        <v>1562</v>
      </c>
      <c r="B990" t="str">
        <f>VLOOKUP(A990,sales_dataset!I:J,2,0)</f>
        <v>New York</v>
      </c>
      <c r="C990" t="str">
        <f>VLOOKUP(A990,sales_dataset!I:K,3,0)</f>
        <v>New York City</v>
      </c>
      <c r="D990" t="str">
        <f>IFERROR(_xlfn.XLOOKUP(A990,sales_dataset!I:I,sales_dataset!G:G),"Not Found")</f>
        <v>Debit Card</v>
      </c>
    </row>
    <row r="991" spans="1:4">
      <c r="A991" s="6" t="s">
        <v>1676</v>
      </c>
      <c r="B991" t="str">
        <f>VLOOKUP(A991,sales_dataset!I:J,2,0)</f>
        <v>California</v>
      </c>
      <c r="C991" t="str">
        <f>VLOOKUP(A991,sales_dataset!I:K,3,0)</f>
        <v>Los Angeles</v>
      </c>
      <c r="D991" t="str">
        <f>IFERROR(_xlfn.XLOOKUP(A991,sales_dataset!I:I,sales_dataset!G:G),"Not Found")</f>
        <v>COD</v>
      </c>
    </row>
    <row r="992" spans="1:4">
      <c r="A992" s="6" t="s">
        <v>988</v>
      </c>
      <c r="B992" t="str">
        <f>VLOOKUP(A992,sales_dataset!I:J,2,0)</f>
        <v>New York</v>
      </c>
      <c r="C992" t="str">
        <f>VLOOKUP(A992,sales_dataset!I:K,3,0)</f>
        <v>Rochester</v>
      </c>
      <c r="D992" t="str">
        <f>IFERROR(_xlfn.XLOOKUP(A992,sales_dataset!I:I,sales_dataset!G:G),"Not Found")</f>
        <v>COD</v>
      </c>
    </row>
    <row r="993" spans="1:4">
      <c r="A993" s="4" t="s">
        <v>1190</v>
      </c>
      <c r="B993" t="str">
        <f>VLOOKUP(A993,sales_dataset!I:J,2,0)</f>
        <v>New York</v>
      </c>
      <c r="C993" t="str">
        <f>VLOOKUP(A993,sales_dataset!I:K,3,0)</f>
        <v>Buffalo</v>
      </c>
      <c r="D993" t="str">
        <f>IFERROR(_xlfn.XLOOKUP(A993,sales_dataset!I:I,sales_dataset!G:G),"Not Found")</f>
        <v>EMI</v>
      </c>
    </row>
    <row r="994" spans="1:4">
      <c r="A994" s="6" t="s">
        <v>1678</v>
      </c>
      <c r="B994" t="str">
        <f>VLOOKUP(A994,sales_dataset!I:J,2,0)</f>
        <v>Illinois</v>
      </c>
      <c r="C994" t="str">
        <f>VLOOKUP(A994,sales_dataset!I:K,3,0)</f>
        <v>Chicago</v>
      </c>
      <c r="D994" t="str">
        <f>IFERROR(_xlfn.XLOOKUP(A994,sales_dataset!I:I,sales_dataset!G:G),"Not Found")</f>
        <v>COD</v>
      </c>
    </row>
    <row r="995" spans="1:4">
      <c r="A995" s="4" t="s">
        <v>1680</v>
      </c>
      <c r="B995" t="str">
        <f>VLOOKUP(A995,sales_dataset!I:J,2,0)</f>
        <v>New York</v>
      </c>
      <c r="C995" t="str">
        <f>VLOOKUP(A995,sales_dataset!I:K,3,0)</f>
        <v>Rochester</v>
      </c>
      <c r="D995" t="str">
        <f>IFERROR(_xlfn.XLOOKUP(A995,sales_dataset!I:I,sales_dataset!G:G),"Not Found")</f>
        <v>EMI</v>
      </c>
    </row>
    <row r="996" spans="1:4">
      <c r="A996" s="6" t="s">
        <v>1682</v>
      </c>
      <c r="B996" t="str">
        <f>VLOOKUP(A996,sales_dataset!I:J,2,0)</f>
        <v>Texas</v>
      </c>
      <c r="C996" t="str">
        <f>VLOOKUP(A996,sales_dataset!I:K,3,0)</f>
        <v>Austin</v>
      </c>
      <c r="D996" t="str">
        <f>IFERROR(_xlfn.XLOOKUP(A996,sales_dataset!I:I,sales_dataset!G:G),"Not Found")</f>
        <v>EMI</v>
      </c>
    </row>
    <row r="997" spans="1:4">
      <c r="A997" s="4" t="s">
        <v>1683</v>
      </c>
      <c r="B997" t="str">
        <f>VLOOKUP(A997,sales_dataset!I:J,2,0)</f>
        <v>New York</v>
      </c>
      <c r="C997" t="str">
        <f>VLOOKUP(A997,sales_dataset!I:K,3,0)</f>
        <v>Buffalo</v>
      </c>
      <c r="D997" t="str">
        <f>IFERROR(_xlfn.XLOOKUP(A997,sales_dataset!I:I,sales_dataset!G:G),"Not Found")</f>
        <v>EMI</v>
      </c>
    </row>
    <row r="998" spans="1:4">
      <c r="A998" s="4" t="s">
        <v>1686</v>
      </c>
      <c r="B998" t="str">
        <f>VLOOKUP(A998,sales_dataset!I:J,2,0)</f>
        <v>Texas</v>
      </c>
      <c r="C998" t="str">
        <f>VLOOKUP(A998,sales_dataset!I:K,3,0)</f>
        <v>Austin</v>
      </c>
      <c r="D998" t="str">
        <f>IFERROR(_xlfn.XLOOKUP(A998,sales_dataset!I:I,sales_dataset!G:G),"Not Found")</f>
        <v>COD</v>
      </c>
    </row>
    <row r="999" spans="1:4">
      <c r="A999" s="4" t="s">
        <v>1688</v>
      </c>
      <c r="B999" t="str">
        <f>VLOOKUP(A999,sales_dataset!I:J,2,0)</f>
        <v>Florida</v>
      </c>
      <c r="C999" t="str">
        <f>VLOOKUP(A999,sales_dataset!I:K,3,0)</f>
        <v>Tampa</v>
      </c>
      <c r="D999" t="str">
        <f>IFERROR(_xlfn.XLOOKUP(A999,sales_dataset!I:I,sales_dataset!G:G),"Not Found")</f>
        <v>Credit Card</v>
      </c>
    </row>
    <row r="1000" spans="1:4">
      <c r="A1000" s="6" t="s">
        <v>782</v>
      </c>
      <c r="B1000" t="str">
        <f>VLOOKUP(A1000,sales_dataset!I:J,2,0)</f>
        <v>Texas</v>
      </c>
      <c r="C1000" t="str">
        <f>VLOOKUP(A1000,sales_dataset!I:K,3,0)</f>
        <v>Austin</v>
      </c>
      <c r="D1000" t="str">
        <f>IFERROR(_xlfn.XLOOKUP(A1000,sales_dataset!I:I,sales_dataset!G:G),"Not Found")</f>
        <v>Debit Card</v>
      </c>
    </row>
    <row r="1001" spans="1:4">
      <c r="A1001" s="6" t="s">
        <v>1537</v>
      </c>
      <c r="B1001" t="str">
        <f>VLOOKUP(A1001,sales_dataset!I:J,2,0)</f>
        <v>New York</v>
      </c>
      <c r="C1001" t="str">
        <f>VLOOKUP(A1001,sales_dataset!I:K,3,0)</f>
        <v>Buffalo</v>
      </c>
      <c r="D1001" t="str">
        <f>IFERROR(_xlfn.XLOOKUP(A1001,sales_dataset!I:I,sales_dataset!G:G),"Not Found")</f>
        <v>Credit Card</v>
      </c>
    </row>
    <row r="1002" spans="1:4">
      <c r="A1002" s="6" t="s">
        <v>875</v>
      </c>
      <c r="B1002" t="str">
        <f>VLOOKUP(A1002,sales_dataset!I:J,2,0)</f>
        <v>Florida</v>
      </c>
      <c r="C1002" t="str">
        <f>VLOOKUP(A1002,sales_dataset!I:K,3,0)</f>
        <v>Miami</v>
      </c>
      <c r="D1002" t="str">
        <f>IFERROR(_xlfn.XLOOKUP(A1002,sales_dataset!I:I,sales_dataset!G:G),"Not Found")</f>
        <v>EMI</v>
      </c>
    </row>
    <row r="1003" spans="1:4">
      <c r="A1003" s="6" t="s">
        <v>1691</v>
      </c>
      <c r="B1003" t="str">
        <f>VLOOKUP(A1003,sales_dataset!I:J,2,0)</f>
        <v>Florida</v>
      </c>
      <c r="C1003" t="str">
        <f>VLOOKUP(A1003,sales_dataset!I:K,3,0)</f>
        <v>Tampa</v>
      </c>
      <c r="D1003" t="str">
        <f>IFERROR(_xlfn.XLOOKUP(A1003,sales_dataset!I:I,sales_dataset!G:G),"Not Found")</f>
        <v>COD</v>
      </c>
    </row>
    <row r="1004" spans="1:4">
      <c r="A1004" s="4" t="s">
        <v>1693</v>
      </c>
      <c r="B1004" t="str">
        <f>VLOOKUP(A1004,sales_dataset!I:J,2,0)</f>
        <v>Florida</v>
      </c>
      <c r="C1004" t="str">
        <f>VLOOKUP(A1004,sales_dataset!I:K,3,0)</f>
        <v>Orlando</v>
      </c>
      <c r="D1004" t="str">
        <f>IFERROR(_xlfn.XLOOKUP(A1004,sales_dataset!I:I,sales_dataset!G:G),"Not Found")</f>
        <v>UPI</v>
      </c>
    </row>
    <row r="1005" spans="1:4">
      <c r="A1005" s="6" t="s">
        <v>1695</v>
      </c>
      <c r="B1005" t="str">
        <f>VLOOKUP(A1005,sales_dataset!I:J,2,0)</f>
        <v>Texas</v>
      </c>
      <c r="C1005" t="str">
        <f>VLOOKUP(A1005,sales_dataset!I:K,3,0)</f>
        <v>Austin</v>
      </c>
      <c r="D1005" t="str">
        <f>IFERROR(_xlfn.XLOOKUP(A1005,sales_dataset!I:I,sales_dataset!G:G),"Not Found")</f>
        <v>Debit Card</v>
      </c>
    </row>
    <row r="1006" spans="1:4">
      <c r="A1006" s="4" t="s">
        <v>527</v>
      </c>
      <c r="B1006" t="str">
        <f>VLOOKUP(A1006,sales_dataset!I:J,2,0)</f>
        <v>Ohio</v>
      </c>
      <c r="C1006" t="str">
        <f>VLOOKUP(A1006,sales_dataset!I:K,3,0)</f>
        <v>Cincinnati</v>
      </c>
      <c r="D1006" t="str">
        <f>IFERROR(_xlfn.XLOOKUP(A1006,sales_dataset!I:I,sales_dataset!G:G),"Not Found")</f>
        <v>Credit Card</v>
      </c>
    </row>
    <row r="1007" spans="1:4">
      <c r="A1007" s="6" t="s">
        <v>1180</v>
      </c>
      <c r="B1007" t="str">
        <f>VLOOKUP(A1007,sales_dataset!I:J,2,0)</f>
        <v>Florida</v>
      </c>
      <c r="C1007" t="str">
        <f>VLOOKUP(A1007,sales_dataset!I:K,3,0)</f>
        <v>Tampa</v>
      </c>
      <c r="D1007" t="str">
        <f>IFERROR(_xlfn.XLOOKUP(A1007,sales_dataset!I:I,sales_dataset!G:G),"Not Found")</f>
        <v>COD</v>
      </c>
    </row>
    <row r="1008" spans="1:4">
      <c r="A1008" s="6" t="s">
        <v>828</v>
      </c>
      <c r="B1008" t="str">
        <f>VLOOKUP(A1008,sales_dataset!I:J,2,0)</f>
        <v>Florida</v>
      </c>
      <c r="C1008" t="str">
        <f>VLOOKUP(A1008,sales_dataset!I:K,3,0)</f>
        <v>Miami</v>
      </c>
      <c r="D1008" t="str">
        <f>IFERROR(_xlfn.XLOOKUP(A1008,sales_dataset!I:I,sales_dataset!G:G),"Not Found")</f>
        <v>Credit Card</v>
      </c>
    </row>
    <row r="1009" spans="1:4">
      <c r="A1009" s="6" t="s">
        <v>1697</v>
      </c>
      <c r="B1009" t="str">
        <f>VLOOKUP(A1009,sales_dataset!I:J,2,0)</f>
        <v>Ohio</v>
      </c>
      <c r="C1009" t="str">
        <f>VLOOKUP(A1009,sales_dataset!I:K,3,0)</f>
        <v>Cleveland</v>
      </c>
      <c r="D1009" t="str">
        <f>IFERROR(_xlfn.XLOOKUP(A1009,sales_dataset!I:I,sales_dataset!G:G),"Not Found")</f>
        <v>EMI</v>
      </c>
    </row>
    <row r="1010" spans="1:4">
      <c r="A1010" s="6" t="s">
        <v>784</v>
      </c>
      <c r="B1010" t="str">
        <f>VLOOKUP(A1010,sales_dataset!I:J,2,0)</f>
        <v>Ohio</v>
      </c>
      <c r="C1010" t="str">
        <f>VLOOKUP(A1010,sales_dataset!I:K,3,0)</f>
        <v>Cleveland</v>
      </c>
      <c r="D1010" t="str">
        <f>IFERROR(_xlfn.XLOOKUP(A1010,sales_dataset!I:I,sales_dataset!G:G),"Not Found")</f>
        <v>COD</v>
      </c>
    </row>
    <row r="1011" spans="1:4">
      <c r="A1011" s="4" t="s">
        <v>785</v>
      </c>
      <c r="B1011" t="str">
        <f>VLOOKUP(A1011,sales_dataset!I:J,2,0)</f>
        <v>California</v>
      </c>
      <c r="C1011" t="str">
        <f>VLOOKUP(A1011,sales_dataset!I:K,3,0)</f>
        <v>Los Angeles</v>
      </c>
      <c r="D1011" t="str">
        <f>IFERROR(_xlfn.XLOOKUP(A1011,sales_dataset!I:I,sales_dataset!G:G),"Not Found")</f>
        <v>COD</v>
      </c>
    </row>
    <row r="1012" spans="1:4">
      <c r="A1012" s="4" t="s">
        <v>1067</v>
      </c>
      <c r="B1012" t="str">
        <f>VLOOKUP(A1012,sales_dataset!I:J,2,0)</f>
        <v>California</v>
      </c>
      <c r="C1012" t="str">
        <f>VLOOKUP(A1012,sales_dataset!I:K,3,0)</f>
        <v>San Diego</v>
      </c>
      <c r="D1012" t="str">
        <f>IFERROR(_xlfn.XLOOKUP(A1012,sales_dataset!I:I,sales_dataset!G:G),"Not Found")</f>
        <v>EMI</v>
      </c>
    </row>
    <row r="1013" spans="1:4">
      <c r="A1013" s="6" t="s">
        <v>1069</v>
      </c>
      <c r="B1013" t="str">
        <f>VLOOKUP(A1013,sales_dataset!I:J,2,0)</f>
        <v>California</v>
      </c>
      <c r="C1013" t="str">
        <f>VLOOKUP(A1013,sales_dataset!I:K,3,0)</f>
        <v>San Francisco</v>
      </c>
      <c r="D1013" t="str">
        <f>IFERROR(_xlfn.XLOOKUP(A1013,sales_dataset!I:I,sales_dataset!G:G),"Not Found")</f>
        <v>EMI</v>
      </c>
    </row>
    <row r="1014" spans="1:4">
      <c r="A1014" s="6" t="s">
        <v>1192</v>
      </c>
      <c r="B1014" t="str">
        <f>VLOOKUP(A1014,sales_dataset!I:J,2,0)</f>
        <v>California</v>
      </c>
      <c r="C1014" t="str">
        <f>VLOOKUP(A1014,sales_dataset!I:K,3,0)</f>
        <v>Los Angeles</v>
      </c>
      <c r="D1014" t="str">
        <f>IFERROR(_xlfn.XLOOKUP(A1014,sales_dataset!I:I,sales_dataset!G:G),"Not Found")</f>
        <v>Debit Card</v>
      </c>
    </row>
    <row r="1015" spans="1:4">
      <c r="A1015" s="6" t="s">
        <v>1699</v>
      </c>
      <c r="B1015" t="str">
        <f>VLOOKUP(A1015,sales_dataset!I:J,2,0)</f>
        <v>Texas</v>
      </c>
      <c r="C1015" t="str">
        <f>VLOOKUP(A1015,sales_dataset!I:K,3,0)</f>
        <v>Dallas</v>
      </c>
      <c r="D1015" t="str">
        <f>IFERROR(_xlfn.XLOOKUP(A1015,sales_dataset!I:I,sales_dataset!G:G),"Not Found")</f>
        <v>COD</v>
      </c>
    </row>
    <row r="1016" spans="1:4">
      <c r="A1016" s="6" t="s">
        <v>1701</v>
      </c>
      <c r="B1016" t="str">
        <f>VLOOKUP(A1016,sales_dataset!I:J,2,0)</f>
        <v>New York</v>
      </c>
      <c r="C1016" t="str">
        <f>VLOOKUP(A1016,sales_dataset!I:K,3,0)</f>
        <v>New York City</v>
      </c>
      <c r="D1016" t="str">
        <f>IFERROR(_xlfn.XLOOKUP(A1016,sales_dataset!I:I,sales_dataset!G:G),"Not Found")</f>
        <v>Credit Card</v>
      </c>
    </row>
    <row r="1017" spans="1:4">
      <c r="A1017" s="4" t="s">
        <v>974</v>
      </c>
      <c r="B1017" t="str">
        <f>VLOOKUP(A1017,sales_dataset!I:J,2,0)</f>
        <v>Ohio</v>
      </c>
      <c r="C1017" t="str">
        <f>VLOOKUP(A1017,sales_dataset!I:K,3,0)</f>
        <v>Columbus</v>
      </c>
      <c r="D1017" t="str">
        <f>IFERROR(_xlfn.XLOOKUP(A1017,sales_dataset!I:I,sales_dataset!G:G),"Not Found")</f>
        <v>UPI</v>
      </c>
    </row>
    <row r="1018" spans="1:4">
      <c r="A1018" s="6" t="s">
        <v>976</v>
      </c>
      <c r="B1018" t="str">
        <f>VLOOKUP(A1018,sales_dataset!I:J,2,0)</f>
        <v>Texas</v>
      </c>
      <c r="C1018" t="str">
        <f>VLOOKUP(A1018,sales_dataset!I:K,3,0)</f>
        <v>Houston</v>
      </c>
      <c r="D1018" t="str">
        <f>IFERROR(_xlfn.XLOOKUP(A1018,sales_dataset!I:I,sales_dataset!G:G),"Not Found")</f>
        <v>UPI</v>
      </c>
    </row>
    <row r="1019" spans="1:4">
      <c r="A1019" s="4" t="s">
        <v>1704</v>
      </c>
      <c r="B1019" t="str">
        <f>VLOOKUP(A1019,sales_dataset!I:J,2,0)</f>
        <v>Ohio</v>
      </c>
      <c r="C1019" t="str">
        <f>VLOOKUP(A1019,sales_dataset!I:K,3,0)</f>
        <v>Cleveland</v>
      </c>
      <c r="D1019" t="str">
        <f>IFERROR(_xlfn.XLOOKUP(A1019,sales_dataset!I:I,sales_dataset!G:G),"Not Found")</f>
        <v>UPI</v>
      </c>
    </row>
    <row r="1020" spans="1:4">
      <c r="A1020" s="6" t="s">
        <v>1706</v>
      </c>
      <c r="B1020" t="str">
        <f>VLOOKUP(A1020,sales_dataset!I:J,2,0)</f>
        <v>Illinois</v>
      </c>
      <c r="C1020" t="str">
        <f>VLOOKUP(A1020,sales_dataset!I:K,3,0)</f>
        <v>Peoria</v>
      </c>
      <c r="D1020" t="str">
        <f>IFERROR(_xlfn.XLOOKUP(A1020,sales_dataset!I:I,sales_dataset!G:G),"Not Found")</f>
        <v>UPI</v>
      </c>
    </row>
    <row r="1021" spans="1:4">
      <c r="A1021" s="6" t="s">
        <v>630</v>
      </c>
      <c r="B1021" t="str">
        <f>VLOOKUP(A1021,sales_dataset!I:J,2,0)</f>
        <v>California</v>
      </c>
      <c r="C1021" t="str">
        <f>VLOOKUP(A1021,sales_dataset!I:K,3,0)</f>
        <v>San Diego</v>
      </c>
      <c r="D1021" t="str">
        <f>IFERROR(_xlfn.XLOOKUP(A1021,sales_dataset!I:I,sales_dataset!G:G),"Not Found")</f>
        <v>EMI</v>
      </c>
    </row>
    <row r="1022" spans="1:4">
      <c r="A1022" s="6" t="s">
        <v>341</v>
      </c>
      <c r="B1022" t="str">
        <f>VLOOKUP(A1022,sales_dataset!I:J,2,0)</f>
        <v>California</v>
      </c>
      <c r="C1022" t="str">
        <f>VLOOKUP(A1022,sales_dataset!I:K,3,0)</f>
        <v>San Francisco</v>
      </c>
      <c r="D1022" t="str">
        <f>IFERROR(_xlfn.XLOOKUP(A1022,sales_dataset!I:I,sales_dataset!G:G),"Not Found")</f>
        <v>Credit Card</v>
      </c>
    </row>
    <row r="1023" spans="1:4">
      <c r="A1023" s="6" t="s">
        <v>449</v>
      </c>
      <c r="B1023" t="str">
        <f>VLOOKUP(A1023,sales_dataset!I:J,2,0)</f>
        <v>New York</v>
      </c>
      <c r="C1023" t="str">
        <f>VLOOKUP(A1023,sales_dataset!I:K,3,0)</f>
        <v>New York City</v>
      </c>
      <c r="D1023" t="str">
        <f>IFERROR(_xlfn.XLOOKUP(A1023,sales_dataset!I:I,sales_dataset!G:G),"Not Found")</f>
        <v>EMI</v>
      </c>
    </row>
    <row r="1024" spans="1:4">
      <c r="A1024" s="4" t="s">
        <v>229</v>
      </c>
      <c r="B1024" t="str">
        <f>VLOOKUP(A1024,sales_dataset!I:J,2,0)</f>
        <v>Texas</v>
      </c>
      <c r="C1024" t="str">
        <f>VLOOKUP(A1024,sales_dataset!I:K,3,0)</f>
        <v>Dallas</v>
      </c>
      <c r="D1024" t="str">
        <f>IFERROR(_xlfn.XLOOKUP(A1024,sales_dataset!I:I,sales_dataset!G:G),"Not Found")</f>
        <v>Credit Card</v>
      </c>
    </row>
    <row r="1025" spans="1:4">
      <c r="A1025" s="4" t="s">
        <v>546</v>
      </c>
      <c r="B1025" t="str">
        <f>VLOOKUP(A1025,sales_dataset!I:J,2,0)</f>
        <v>New York</v>
      </c>
      <c r="C1025" t="str">
        <f>VLOOKUP(A1025,sales_dataset!I:K,3,0)</f>
        <v>Buffalo</v>
      </c>
      <c r="D1025" t="str">
        <f>IFERROR(_xlfn.XLOOKUP(A1025,sales_dataset!I:I,sales_dataset!G:G),"Not Found")</f>
        <v>Credit Card</v>
      </c>
    </row>
    <row r="1026" spans="1:4">
      <c r="A1026" s="6" t="s">
        <v>1383</v>
      </c>
      <c r="B1026" t="str">
        <f>VLOOKUP(A1026,sales_dataset!I:J,2,0)</f>
        <v>Ohio</v>
      </c>
      <c r="C1026" t="str">
        <f>VLOOKUP(A1026,sales_dataset!I:K,3,0)</f>
        <v>Cleveland</v>
      </c>
      <c r="D1026" t="str">
        <f>IFERROR(_xlfn.XLOOKUP(A1026,sales_dataset!I:I,sales_dataset!G:G),"Not Found")</f>
        <v>COD</v>
      </c>
    </row>
    <row r="1027" spans="1:4">
      <c r="A1027" s="4" t="s">
        <v>1709</v>
      </c>
      <c r="B1027" t="str">
        <f>VLOOKUP(A1027,sales_dataset!I:J,2,0)</f>
        <v>Illinois</v>
      </c>
      <c r="C1027" t="str">
        <f>VLOOKUP(A1027,sales_dataset!I:K,3,0)</f>
        <v>Springfield</v>
      </c>
      <c r="D1027" t="str">
        <f>IFERROR(_xlfn.XLOOKUP(A1027,sales_dataset!I:I,sales_dataset!G:G),"Not Found")</f>
        <v>EMI</v>
      </c>
    </row>
    <row r="1028" spans="1:4">
      <c r="A1028" s="6" t="s">
        <v>1711</v>
      </c>
      <c r="B1028" t="str">
        <f>VLOOKUP(A1028,sales_dataset!I:J,2,0)</f>
        <v>Texas</v>
      </c>
      <c r="C1028" t="str">
        <f>VLOOKUP(A1028,sales_dataset!I:K,3,0)</f>
        <v>Dallas</v>
      </c>
      <c r="D1028" t="str">
        <f>IFERROR(_xlfn.XLOOKUP(A1028,sales_dataset!I:I,sales_dataset!G:G),"Not Found")</f>
        <v>UPI</v>
      </c>
    </row>
    <row r="1029" spans="1:4">
      <c r="A1029" s="4" t="s">
        <v>1713</v>
      </c>
      <c r="B1029" t="str">
        <f>VLOOKUP(A1029,sales_dataset!I:J,2,0)</f>
        <v>California</v>
      </c>
      <c r="C1029" t="str">
        <f>VLOOKUP(A1029,sales_dataset!I:K,3,0)</f>
        <v>San Diego</v>
      </c>
      <c r="D1029" t="str">
        <f>IFERROR(_xlfn.XLOOKUP(A1029,sales_dataset!I:I,sales_dataset!G:G),"Not Found")</f>
        <v>UPI</v>
      </c>
    </row>
    <row r="1030" spans="1:4">
      <c r="A1030" s="4" t="s">
        <v>1715</v>
      </c>
      <c r="B1030" t="str">
        <f>VLOOKUP(A1030,sales_dataset!I:J,2,0)</f>
        <v>Florida</v>
      </c>
      <c r="C1030" t="str">
        <f>VLOOKUP(A1030,sales_dataset!I:K,3,0)</f>
        <v>Orlando</v>
      </c>
      <c r="D1030" t="str">
        <f>IFERROR(_xlfn.XLOOKUP(A1030,sales_dataset!I:I,sales_dataset!G:G),"Not Found")</f>
        <v>EMI</v>
      </c>
    </row>
    <row r="1031" spans="1:4">
      <c r="A1031" s="6" t="s">
        <v>784</v>
      </c>
      <c r="B1031" t="str">
        <f>VLOOKUP(A1031,sales_dataset!I:J,2,0)</f>
        <v>Ohio</v>
      </c>
      <c r="C1031" t="str">
        <f>VLOOKUP(A1031,sales_dataset!I:K,3,0)</f>
        <v>Cleveland</v>
      </c>
      <c r="D1031" t="str">
        <f>IFERROR(_xlfn.XLOOKUP(A1031,sales_dataset!I:I,sales_dataset!G:G),"Not Found")</f>
        <v>COD</v>
      </c>
    </row>
    <row r="1032" spans="1:4">
      <c r="A1032" s="4" t="s">
        <v>785</v>
      </c>
      <c r="B1032" t="str">
        <f>VLOOKUP(A1032,sales_dataset!I:J,2,0)</f>
        <v>California</v>
      </c>
      <c r="C1032" t="str">
        <f>VLOOKUP(A1032,sales_dataset!I:K,3,0)</f>
        <v>Los Angeles</v>
      </c>
      <c r="D1032" t="str">
        <f>IFERROR(_xlfn.XLOOKUP(A1032,sales_dataset!I:I,sales_dataset!G:G),"Not Found")</f>
        <v>COD</v>
      </c>
    </row>
    <row r="1033" spans="1:4">
      <c r="A1033" s="6" t="s">
        <v>1717</v>
      </c>
      <c r="B1033" t="str">
        <f>VLOOKUP(A1033,sales_dataset!I:J,2,0)</f>
        <v>Ohio</v>
      </c>
      <c r="C1033" t="str">
        <f>VLOOKUP(A1033,sales_dataset!I:K,3,0)</f>
        <v>Cleveland</v>
      </c>
      <c r="D1033" t="str">
        <f>IFERROR(_xlfn.XLOOKUP(A1033,sales_dataset!I:I,sales_dataset!G:G),"Not Found")</f>
        <v>Debit Card</v>
      </c>
    </row>
    <row r="1034" spans="1:4">
      <c r="A1034" s="6" t="s">
        <v>1719</v>
      </c>
      <c r="B1034" t="str">
        <f>VLOOKUP(A1034,sales_dataset!I:J,2,0)</f>
        <v>Illinois</v>
      </c>
      <c r="C1034" t="str">
        <f>VLOOKUP(A1034,sales_dataset!I:K,3,0)</f>
        <v>Springfield</v>
      </c>
      <c r="D1034" t="str">
        <f>IFERROR(_xlfn.XLOOKUP(A1034,sales_dataset!I:I,sales_dataset!G:G),"Not Found")</f>
        <v>Credit Card</v>
      </c>
    </row>
    <row r="1035" spans="1:4">
      <c r="A1035" s="4" t="s">
        <v>1721</v>
      </c>
      <c r="B1035" t="str">
        <f>VLOOKUP(A1035,sales_dataset!I:J,2,0)</f>
        <v>Florida</v>
      </c>
      <c r="C1035" t="str">
        <f>VLOOKUP(A1035,sales_dataset!I:K,3,0)</f>
        <v>Tampa</v>
      </c>
      <c r="D1035" t="str">
        <f>IFERROR(_xlfn.XLOOKUP(A1035,sales_dataset!I:I,sales_dataset!G:G),"Not Found")</f>
        <v>Credit Card</v>
      </c>
    </row>
    <row r="1036" spans="1:4">
      <c r="A1036" s="6" t="s">
        <v>1722</v>
      </c>
      <c r="B1036" t="str">
        <f>VLOOKUP(A1036,sales_dataset!I:J,2,0)</f>
        <v>Ohio</v>
      </c>
      <c r="C1036" t="str">
        <f>VLOOKUP(A1036,sales_dataset!I:K,3,0)</f>
        <v>Cincinnati</v>
      </c>
      <c r="D1036" t="str">
        <f>IFERROR(_xlfn.XLOOKUP(A1036,sales_dataset!I:I,sales_dataset!G:G),"Not Found")</f>
        <v>Credit Card</v>
      </c>
    </row>
    <row r="1037" spans="1:4">
      <c r="A1037" s="6" t="s">
        <v>1416</v>
      </c>
      <c r="B1037" t="str">
        <f>VLOOKUP(A1037,sales_dataset!I:J,2,0)</f>
        <v>Ohio</v>
      </c>
      <c r="C1037" t="str">
        <f>VLOOKUP(A1037,sales_dataset!I:K,3,0)</f>
        <v>Cincinnati</v>
      </c>
      <c r="D1037" t="str">
        <f>IFERROR(_xlfn.XLOOKUP(A1037,sales_dataset!I:I,sales_dataset!G:G),"Not Found")</f>
        <v>EMI</v>
      </c>
    </row>
    <row r="1038" spans="1:4">
      <c r="A1038" s="4" t="s">
        <v>1418</v>
      </c>
      <c r="B1038" t="str">
        <f>VLOOKUP(A1038,sales_dataset!I:J,2,0)</f>
        <v>Texas</v>
      </c>
      <c r="C1038" t="str">
        <f>VLOOKUP(A1038,sales_dataset!I:K,3,0)</f>
        <v>Dallas</v>
      </c>
      <c r="D1038" t="str">
        <f>IFERROR(_xlfn.XLOOKUP(A1038,sales_dataset!I:I,sales_dataset!G:G),"Not Found")</f>
        <v>EMI</v>
      </c>
    </row>
    <row r="1039" spans="1:4">
      <c r="A1039" s="6" t="s">
        <v>1419</v>
      </c>
      <c r="B1039" t="str">
        <f>VLOOKUP(A1039,sales_dataset!I:J,2,0)</f>
        <v>Ohio</v>
      </c>
      <c r="C1039" t="str">
        <f>VLOOKUP(A1039,sales_dataset!I:K,3,0)</f>
        <v>Cincinnati</v>
      </c>
      <c r="D1039" t="str">
        <f>IFERROR(_xlfn.XLOOKUP(A1039,sales_dataset!I:I,sales_dataset!G:G),"Not Found")</f>
        <v>EMI</v>
      </c>
    </row>
    <row r="1040" spans="1:4">
      <c r="A1040" s="4" t="s">
        <v>1420</v>
      </c>
      <c r="B1040" t="str">
        <f>VLOOKUP(A1040,sales_dataset!I:J,2,0)</f>
        <v>New York</v>
      </c>
      <c r="C1040" t="str">
        <f>VLOOKUP(A1040,sales_dataset!I:K,3,0)</f>
        <v>Rochester</v>
      </c>
      <c r="D1040" t="str">
        <f>IFERROR(_xlfn.XLOOKUP(A1040,sales_dataset!I:I,sales_dataset!G:G),"Not Found")</f>
        <v>EMI</v>
      </c>
    </row>
    <row r="1041" spans="1:4">
      <c r="A1041" s="6" t="s">
        <v>930</v>
      </c>
      <c r="B1041" t="str">
        <f>VLOOKUP(A1041,sales_dataset!I:J,2,0)</f>
        <v>California</v>
      </c>
      <c r="C1041" t="str">
        <f>VLOOKUP(A1041,sales_dataset!I:K,3,0)</f>
        <v>San Diego</v>
      </c>
      <c r="D1041" t="str">
        <f>IFERROR(_xlfn.XLOOKUP(A1041,sales_dataset!I:I,sales_dataset!G:G),"Not Found")</f>
        <v>Debit Card</v>
      </c>
    </row>
    <row r="1042" spans="1:4">
      <c r="A1042" s="6" t="s">
        <v>754</v>
      </c>
      <c r="B1042" t="str">
        <f>VLOOKUP(A1042,sales_dataset!I:J,2,0)</f>
        <v>California</v>
      </c>
      <c r="C1042" t="str">
        <f>VLOOKUP(A1042,sales_dataset!I:K,3,0)</f>
        <v>San Diego</v>
      </c>
      <c r="D1042" t="str">
        <f>IFERROR(_xlfn.XLOOKUP(A1042,sales_dataset!I:I,sales_dataset!G:G),"Not Found")</f>
        <v>UPI</v>
      </c>
    </row>
    <row r="1043" spans="1:4">
      <c r="A1043" s="6" t="s">
        <v>1724</v>
      </c>
      <c r="B1043" t="str">
        <f>VLOOKUP(A1043,sales_dataset!I:J,2,0)</f>
        <v>California</v>
      </c>
      <c r="C1043" t="str">
        <f>VLOOKUP(A1043,sales_dataset!I:K,3,0)</f>
        <v>Los Angeles</v>
      </c>
      <c r="D1043" t="str">
        <f>IFERROR(_xlfn.XLOOKUP(A1043,sales_dataset!I:I,sales_dataset!G:G),"Not Found")</f>
        <v>Credit Card</v>
      </c>
    </row>
    <row r="1044" spans="1:4">
      <c r="A1044" s="4" t="s">
        <v>1726</v>
      </c>
      <c r="B1044" t="str">
        <f>VLOOKUP(A1044,sales_dataset!I:J,2,0)</f>
        <v>Florida</v>
      </c>
      <c r="C1044" t="str">
        <f>VLOOKUP(A1044,sales_dataset!I:K,3,0)</f>
        <v>Orlando</v>
      </c>
      <c r="D1044" t="str">
        <f>IFERROR(_xlfn.XLOOKUP(A1044,sales_dataset!I:I,sales_dataset!G:G),"Not Found")</f>
        <v>Debit Card</v>
      </c>
    </row>
    <row r="1045" spans="1:4">
      <c r="A1045" s="6" t="s">
        <v>1727</v>
      </c>
      <c r="B1045" t="str">
        <f>VLOOKUP(A1045,sales_dataset!I:J,2,0)</f>
        <v>Florida</v>
      </c>
      <c r="C1045" t="str">
        <f>VLOOKUP(A1045,sales_dataset!I:K,3,0)</f>
        <v>Miami</v>
      </c>
      <c r="D1045" t="str">
        <f>IFERROR(_xlfn.XLOOKUP(A1045,sales_dataset!I:I,sales_dataset!G:G),"Not Found")</f>
        <v>Debit Card</v>
      </c>
    </row>
    <row r="1046" spans="1:4">
      <c r="A1046" s="4" t="s">
        <v>378</v>
      </c>
      <c r="B1046" t="str">
        <f>VLOOKUP(A1046,sales_dataset!I:J,2,0)</f>
        <v>New York</v>
      </c>
      <c r="C1046" t="str">
        <f>VLOOKUP(A1046,sales_dataset!I:K,3,0)</f>
        <v>Rochester</v>
      </c>
      <c r="D1046" t="str">
        <f>IFERROR(_xlfn.XLOOKUP(A1046,sales_dataset!I:I,sales_dataset!G:G),"Not Found")</f>
        <v>Debit Card</v>
      </c>
    </row>
    <row r="1047" spans="1:4">
      <c r="A1047" s="6" t="s">
        <v>1730</v>
      </c>
      <c r="B1047" t="str">
        <f>VLOOKUP(A1047,sales_dataset!I:J,2,0)</f>
        <v>Ohio</v>
      </c>
      <c r="C1047" t="str">
        <f>VLOOKUP(A1047,sales_dataset!I:K,3,0)</f>
        <v>Columbus</v>
      </c>
      <c r="D1047" t="str">
        <f>IFERROR(_xlfn.XLOOKUP(A1047,sales_dataset!I:I,sales_dataset!G:G),"Not Found")</f>
        <v>Credit Card</v>
      </c>
    </row>
    <row r="1048" spans="1:4">
      <c r="A1048" s="6" t="s">
        <v>1732</v>
      </c>
      <c r="B1048" t="str">
        <f>VLOOKUP(A1048,sales_dataset!I:J,2,0)</f>
        <v>California</v>
      </c>
      <c r="C1048" t="str">
        <f>VLOOKUP(A1048,sales_dataset!I:K,3,0)</f>
        <v>San Diego</v>
      </c>
      <c r="D1048" t="str">
        <f>IFERROR(_xlfn.XLOOKUP(A1048,sales_dataset!I:I,sales_dataset!G:G),"Not Found")</f>
        <v>UPI</v>
      </c>
    </row>
    <row r="1049" spans="1:4">
      <c r="A1049" s="6" t="s">
        <v>139</v>
      </c>
      <c r="B1049" t="str">
        <f>VLOOKUP(A1049,sales_dataset!I:J,2,0)</f>
        <v>New York</v>
      </c>
      <c r="C1049" t="str">
        <f>VLOOKUP(A1049,sales_dataset!I:K,3,0)</f>
        <v>Buffalo</v>
      </c>
      <c r="D1049" t="str">
        <f>IFERROR(_xlfn.XLOOKUP(A1049,sales_dataset!I:I,sales_dataset!G:G),"Not Found")</f>
        <v>Credit Card</v>
      </c>
    </row>
    <row r="1050" spans="1:4">
      <c r="A1050" s="4" t="s">
        <v>140</v>
      </c>
      <c r="B1050" t="str">
        <f>VLOOKUP(A1050,sales_dataset!I:J,2,0)</f>
        <v>New York</v>
      </c>
      <c r="C1050" t="str">
        <f>VLOOKUP(A1050,sales_dataset!I:K,3,0)</f>
        <v>Rochester</v>
      </c>
      <c r="D1050" t="str">
        <f>IFERROR(_xlfn.XLOOKUP(A1050,sales_dataset!I:I,sales_dataset!G:G),"Not Found")</f>
        <v>Credit Card</v>
      </c>
    </row>
    <row r="1051" spans="1:4">
      <c r="A1051" s="4" t="s">
        <v>1734</v>
      </c>
      <c r="B1051" t="str">
        <f>VLOOKUP(A1051,sales_dataset!I:J,2,0)</f>
        <v>New York</v>
      </c>
      <c r="C1051" t="str">
        <f>VLOOKUP(A1051,sales_dataset!I:K,3,0)</f>
        <v>New York City</v>
      </c>
      <c r="D1051" t="str">
        <f>IFERROR(_xlfn.XLOOKUP(A1051,sales_dataset!I:I,sales_dataset!G:G),"Not Found")</f>
        <v>UPI</v>
      </c>
    </row>
    <row r="1052" spans="1:4">
      <c r="A1052" s="6" t="s">
        <v>1735</v>
      </c>
      <c r="B1052" t="str">
        <f>VLOOKUP(A1052,sales_dataset!I:J,2,0)</f>
        <v>Ohio</v>
      </c>
      <c r="C1052" t="str">
        <f>VLOOKUP(A1052,sales_dataset!I:K,3,0)</f>
        <v>Cleveland</v>
      </c>
      <c r="D1052" t="str">
        <f>IFERROR(_xlfn.XLOOKUP(A1052,sales_dataset!I:I,sales_dataset!G:G),"Not Found")</f>
        <v>UPI</v>
      </c>
    </row>
    <row r="1053" spans="1:4">
      <c r="A1053" s="4" t="s">
        <v>1738</v>
      </c>
      <c r="B1053" t="str">
        <f>VLOOKUP(A1053,sales_dataset!I:J,2,0)</f>
        <v>California</v>
      </c>
      <c r="C1053" t="str">
        <f>VLOOKUP(A1053,sales_dataset!I:K,3,0)</f>
        <v>Los Angeles</v>
      </c>
      <c r="D1053" t="str">
        <f>IFERROR(_xlfn.XLOOKUP(A1053,sales_dataset!I:I,sales_dataset!G:G),"Not Found")</f>
        <v>COD</v>
      </c>
    </row>
    <row r="1054" spans="1:4">
      <c r="A1054" s="6" t="s">
        <v>1740</v>
      </c>
      <c r="B1054" t="str">
        <f>VLOOKUP(A1054,sales_dataset!I:J,2,0)</f>
        <v>California</v>
      </c>
      <c r="C1054" t="str">
        <f>VLOOKUP(A1054,sales_dataset!I:K,3,0)</f>
        <v>San Diego</v>
      </c>
      <c r="D1054" t="str">
        <f>IFERROR(_xlfn.XLOOKUP(A1054,sales_dataset!I:I,sales_dataset!G:G),"Not Found")</f>
        <v>COD</v>
      </c>
    </row>
    <row r="1055" spans="1:4">
      <c r="A1055" s="6" t="s">
        <v>1743</v>
      </c>
      <c r="B1055" t="str">
        <f>VLOOKUP(A1055,sales_dataset!I:J,2,0)</f>
        <v>New York</v>
      </c>
      <c r="C1055" t="str">
        <f>VLOOKUP(A1055,sales_dataset!I:K,3,0)</f>
        <v>Rochester</v>
      </c>
      <c r="D1055" t="str">
        <f>IFERROR(_xlfn.XLOOKUP(A1055,sales_dataset!I:I,sales_dataset!G:G),"Not Found")</f>
        <v>Credit Card</v>
      </c>
    </row>
    <row r="1056" spans="1:4">
      <c r="A1056" s="6" t="s">
        <v>1745</v>
      </c>
      <c r="B1056" t="str">
        <f>VLOOKUP(A1056,sales_dataset!I:J,2,0)</f>
        <v>New York</v>
      </c>
      <c r="C1056" t="str">
        <f>VLOOKUP(A1056,sales_dataset!I:K,3,0)</f>
        <v>New York City</v>
      </c>
      <c r="D1056" t="str">
        <f>IFERROR(_xlfn.XLOOKUP(A1056,sales_dataset!I:I,sales_dataset!G:G),"Not Found")</f>
        <v>Credit Card</v>
      </c>
    </row>
    <row r="1057" spans="1:4">
      <c r="A1057" s="4" t="s">
        <v>522</v>
      </c>
      <c r="B1057" t="str">
        <f>VLOOKUP(A1057,sales_dataset!I:J,2,0)</f>
        <v>New York</v>
      </c>
      <c r="C1057" t="str">
        <f>VLOOKUP(A1057,sales_dataset!I:K,3,0)</f>
        <v>New York City</v>
      </c>
      <c r="D1057" t="str">
        <f>IFERROR(_xlfn.XLOOKUP(A1057,sales_dataset!I:I,sales_dataset!G:G),"Not Found")</f>
        <v>Credit Card</v>
      </c>
    </row>
    <row r="1058" spans="1:4">
      <c r="A1058" s="4" t="s">
        <v>1319</v>
      </c>
      <c r="B1058" t="str">
        <f>VLOOKUP(A1058,sales_dataset!I:J,2,0)</f>
        <v>New York</v>
      </c>
      <c r="C1058" t="str">
        <f>VLOOKUP(A1058,sales_dataset!I:K,3,0)</f>
        <v>Buffalo</v>
      </c>
      <c r="D1058" t="str">
        <f>IFERROR(_xlfn.XLOOKUP(A1058,sales_dataset!I:I,sales_dataset!G:G),"Not Found")</f>
        <v>Debit Card</v>
      </c>
    </row>
    <row r="1059" spans="1:4">
      <c r="A1059" s="4" t="s">
        <v>1663</v>
      </c>
      <c r="B1059" t="str">
        <f>VLOOKUP(A1059,sales_dataset!I:J,2,0)</f>
        <v>Texas</v>
      </c>
      <c r="C1059" t="str">
        <f>VLOOKUP(A1059,sales_dataset!I:K,3,0)</f>
        <v>Dallas</v>
      </c>
      <c r="D1059" t="str">
        <f>IFERROR(_xlfn.XLOOKUP(A1059,sales_dataset!I:I,sales_dataset!G:G),"Not Found")</f>
        <v>COD</v>
      </c>
    </row>
    <row r="1060" spans="1:4">
      <c r="A1060" s="4" t="s">
        <v>1730</v>
      </c>
      <c r="B1060" t="str">
        <f>VLOOKUP(A1060,sales_dataset!I:J,2,0)</f>
        <v>Ohio</v>
      </c>
      <c r="C1060" t="str">
        <f>VLOOKUP(A1060,sales_dataset!I:K,3,0)</f>
        <v>Columbus</v>
      </c>
      <c r="D1060" t="str">
        <f>IFERROR(_xlfn.XLOOKUP(A1060,sales_dataset!I:I,sales_dataset!G:G),"Not Found")</f>
        <v>Credit Card</v>
      </c>
    </row>
    <row r="1061" spans="1:4">
      <c r="A1061" s="6" t="s">
        <v>1747</v>
      </c>
      <c r="B1061" t="str">
        <f>VLOOKUP(A1061,sales_dataset!I:J,2,0)</f>
        <v>Florida</v>
      </c>
      <c r="C1061" t="str">
        <f>VLOOKUP(A1061,sales_dataset!I:K,3,0)</f>
        <v>Orlando</v>
      </c>
      <c r="D1061" t="str">
        <f>IFERROR(_xlfn.XLOOKUP(A1061,sales_dataset!I:I,sales_dataset!G:G),"Not Found")</f>
        <v>UPI</v>
      </c>
    </row>
    <row r="1062" spans="1:4">
      <c r="A1062" s="4" t="s">
        <v>1305</v>
      </c>
      <c r="B1062" t="str">
        <f>VLOOKUP(A1062,sales_dataset!I:J,2,0)</f>
        <v>New York</v>
      </c>
      <c r="C1062" t="str">
        <f>VLOOKUP(A1062,sales_dataset!I:K,3,0)</f>
        <v>Buffalo</v>
      </c>
      <c r="D1062" t="str">
        <f>IFERROR(_xlfn.XLOOKUP(A1062,sales_dataset!I:I,sales_dataset!G:G),"Not Found")</f>
        <v>Debit Card</v>
      </c>
    </row>
    <row r="1063" spans="1:4">
      <c r="A1063" s="4" t="s">
        <v>1749</v>
      </c>
      <c r="B1063" t="str">
        <f>VLOOKUP(A1063,sales_dataset!I:J,2,0)</f>
        <v>California</v>
      </c>
      <c r="C1063" t="str">
        <f>VLOOKUP(A1063,sales_dataset!I:K,3,0)</f>
        <v>San Diego</v>
      </c>
      <c r="D1063" t="str">
        <f>IFERROR(_xlfn.XLOOKUP(A1063,sales_dataset!I:I,sales_dataset!G:G),"Not Found")</f>
        <v>EMI</v>
      </c>
    </row>
    <row r="1064" spans="1:4">
      <c r="A1064" s="4" t="s">
        <v>651</v>
      </c>
      <c r="B1064" t="str">
        <f>VLOOKUP(A1064,sales_dataset!I:J,2,0)</f>
        <v>Florida</v>
      </c>
      <c r="C1064" t="str">
        <f>VLOOKUP(A1064,sales_dataset!I:K,3,0)</f>
        <v>Orlando</v>
      </c>
      <c r="D1064" t="str">
        <f>IFERROR(_xlfn.XLOOKUP(A1064,sales_dataset!I:I,sales_dataset!G:G),"Not Found")</f>
        <v>COD</v>
      </c>
    </row>
    <row r="1065" spans="1:4">
      <c r="A1065" s="6" t="s">
        <v>1751</v>
      </c>
      <c r="B1065" t="str">
        <f>VLOOKUP(A1065,sales_dataset!I:J,2,0)</f>
        <v>New York</v>
      </c>
      <c r="C1065" t="str">
        <f>VLOOKUP(A1065,sales_dataset!I:K,3,0)</f>
        <v>Buffalo</v>
      </c>
      <c r="D1065" t="str">
        <f>IFERROR(_xlfn.XLOOKUP(A1065,sales_dataset!I:I,sales_dataset!G:G),"Not Found")</f>
        <v>UPI</v>
      </c>
    </row>
    <row r="1066" spans="1:4">
      <c r="A1066" s="4" t="s">
        <v>1752</v>
      </c>
      <c r="B1066" t="str">
        <f>VLOOKUP(A1066,sales_dataset!I:J,2,0)</f>
        <v>California</v>
      </c>
      <c r="C1066" t="str">
        <f>VLOOKUP(A1066,sales_dataset!I:K,3,0)</f>
        <v>San Francisco</v>
      </c>
      <c r="D1066" t="str">
        <f>IFERROR(_xlfn.XLOOKUP(A1066,sales_dataset!I:I,sales_dataset!G:G),"Not Found")</f>
        <v>UPI</v>
      </c>
    </row>
    <row r="1067" spans="1:4">
      <c r="A1067" s="6" t="s">
        <v>1651</v>
      </c>
      <c r="B1067" t="str">
        <f>VLOOKUP(A1067,sales_dataset!I:J,2,0)</f>
        <v>Texas</v>
      </c>
      <c r="C1067" t="str">
        <f>VLOOKUP(A1067,sales_dataset!I:K,3,0)</f>
        <v>Austin</v>
      </c>
      <c r="D1067" t="str">
        <f>IFERROR(_xlfn.XLOOKUP(A1067,sales_dataset!I:I,sales_dataset!G:G),"Not Found")</f>
        <v>COD</v>
      </c>
    </row>
    <row r="1068" spans="1:4">
      <c r="A1068" s="4" t="s">
        <v>1755</v>
      </c>
      <c r="B1068" t="str">
        <f>VLOOKUP(A1068,sales_dataset!I:J,2,0)</f>
        <v>New York</v>
      </c>
      <c r="C1068" t="str">
        <f>VLOOKUP(A1068,sales_dataset!I:K,3,0)</f>
        <v>Rochester</v>
      </c>
      <c r="D1068" t="str">
        <f>IFERROR(_xlfn.XLOOKUP(A1068,sales_dataset!I:I,sales_dataset!G:G),"Not Found")</f>
        <v>EMI</v>
      </c>
    </row>
    <row r="1069" spans="1:4">
      <c r="A1069" s="6" t="s">
        <v>1756</v>
      </c>
      <c r="B1069" t="str">
        <f>VLOOKUP(A1069,sales_dataset!I:J,2,0)</f>
        <v>Illinois</v>
      </c>
      <c r="C1069" t="str">
        <f>VLOOKUP(A1069,sales_dataset!I:K,3,0)</f>
        <v>Springfield</v>
      </c>
      <c r="D1069" t="str">
        <f>IFERROR(_xlfn.XLOOKUP(A1069,sales_dataset!I:I,sales_dataset!G:G),"Not Found")</f>
        <v>EMI</v>
      </c>
    </row>
    <row r="1070" spans="1:4">
      <c r="A1070" s="4" t="s">
        <v>1438</v>
      </c>
      <c r="B1070" t="str">
        <f>VLOOKUP(A1070,sales_dataset!I:J,2,0)</f>
        <v>Ohio</v>
      </c>
      <c r="C1070" t="str">
        <f>VLOOKUP(A1070,sales_dataset!I:K,3,0)</f>
        <v>Columbus</v>
      </c>
      <c r="D1070" t="str">
        <f>IFERROR(_xlfn.XLOOKUP(A1070,sales_dataset!I:I,sales_dataset!G:G),"Not Found")</f>
        <v>EMI</v>
      </c>
    </row>
    <row r="1071" spans="1:4">
      <c r="A1071" s="6" t="s">
        <v>1439</v>
      </c>
      <c r="B1071" t="str">
        <f>VLOOKUP(A1071,sales_dataset!I:J,2,0)</f>
        <v>California</v>
      </c>
      <c r="C1071" t="str">
        <f>VLOOKUP(A1071,sales_dataset!I:K,3,0)</f>
        <v>San Francisco</v>
      </c>
      <c r="D1071" t="str">
        <f>IFERROR(_xlfn.XLOOKUP(A1071,sales_dataset!I:I,sales_dataset!G:G),"Not Found")</f>
        <v>EMI</v>
      </c>
    </row>
    <row r="1072" spans="1:4">
      <c r="A1072" s="4" t="s">
        <v>1755</v>
      </c>
      <c r="B1072" t="str">
        <f>VLOOKUP(A1072,sales_dataset!I:J,2,0)</f>
        <v>New York</v>
      </c>
      <c r="C1072" t="str">
        <f>VLOOKUP(A1072,sales_dataset!I:K,3,0)</f>
        <v>Rochester</v>
      </c>
      <c r="D1072" t="str">
        <f>IFERROR(_xlfn.XLOOKUP(A1072,sales_dataset!I:I,sales_dataset!G:G),"Not Found")</f>
        <v>EMI</v>
      </c>
    </row>
    <row r="1073" spans="1:4">
      <c r="A1073" s="6" t="s">
        <v>1756</v>
      </c>
      <c r="B1073" t="str">
        <f>VLOOKUP(A1073,sales_dataset!I:J,2,0)</f>
        <v>Illinois</v>
      </c>
      <c r="C1073" t="str">
        <f>VLOOKUP(A1073,sales_dataset!I:K,3,0)</f>
        <v>Springfield</v>
      </c>
      <c r="D1073" t="str">
        <f>IFERROR(_xlfn.XLOOKUP(A1073,sales_dataset!I:I,sales_dataset!G:G),"Not Found")</f>
        <v>EMI</v>
      </c>
    </row>
    <row r="1074" spans="1:4">
      <c r="A1074" s="4" t="s">
        <v>1759</v>
      </c>
      <c r="B1074" t="str">
        <f>VLOOKUP(A1074,sales_dataset!I:J,2,0)</f>
        <v>Ohio</v>
      </c>
      <c r="C1074" t="str">
        <f>VLOOKUP(A1074,sales_dataset!I:K,3,0)</f>
        <v>Columbus</v>
      </c>
      <c r="D1074" t="str">
        <f>IFERROR(_xlfn.XLOOKUP(A1074,sales_dataset!I:I,sales_dataset!G:G),"Not Found")</f>
        <v>Debit Card</v>
      </c>
    </row>
    <row r="1075" spans="1:4">
      <c r="A1075" s="6" t="s">
        <v>1761</v>
      </c>
      <c r="B1075" t="str">
        <f>VLOOKUP(A1075,sales_dataset!I:J,2,0)</f>
        <v>New York</v>
      </c>
      <c r="C1075" t="str">
        <f>VLOOKUP(A1075,sales_dataset!I:K,3,0)</f>
        <v>Rochester</v>
      </c>
      <c r="D1075" t="str">
        <f>IFERROR(_xlfn.XLOOKUP(A1075,sales_dataset!I:I,sales_dataset!G:G),"Not Found")</f>
        <v>Debit Card</v>
      </c>
    </row>
    <row r="1076" spans="1:4">
      <c r="A1076" s="4" t="s">
        <v>1083</v>
      </c>
      <c r="B1076" t="str">
        <f>VLOOKUP(A1076,sales_dataset!I:J,2,0)</f>
        <v>New York</v>
      </c>
      <c r="C1076" t="str">
        <f>VLOOKUP(A1076,sales_dataset!I:K,3,0)</f>
        <v>Buffalo</v>
      </c>
      <c r="D1076" t="str">
        <f>IFERROR(_xlfn.XLOOKUP(A1076,sales_dataset!I:I,sales_dataset!G:G),"Not Found")</f>
        <v>UPI</v>
      </c>
    </row>
    <row r="1077" spans="1:4">
      <c r="A1077" s="4" t="s">
        <v>1095</v>
      </c>
      <c r="B1077" t="str">
        <f>VLOOKUP(A1077,sales_dataset!I:J,2,0)</f>
        <v>Texas</v>
      </c>
      <c r="C1077" t="str">
        <f>VLOOKUP(A1077,sales_dataset!I:K,3,0)</f>
        <v>Austin</v>
      </c>
      <c r="D1077" t="str">
        <f>IFERROR(_xlfn.XLOOKUP(A1077,sales_dataset!I:I,sales_dataset!G:G),"Not Found")</f>
        <v>UPI</v>
      </c>
    </row>
    <row r="1078" spans="1:4">
      <c r="A1078" s="6" t="s">
        <v>1192</v>
      </c>
      <c r="B1078" t="str">
        <f>VLOOKUP(A1078,sales_dataset!I:J,2,0)</f>
        <v>California</v>
      </c>
      <c r="C1078" t="str">
        <f>VLOOKUP(A1078,sales_dataset!I:K,3,0)</f>
        <v>Los Angeles</v>
      </c>
      <c r="D1078" t="str">
        <f>IFERROR(_xlfn.XLOOKUP(A1078,sales_dataset!I:I,sales_dataset!G:G),"Not Found")</f>
        <v>Debit Card</v>
      </c>
    </row>
    <row r="1079" spans="1:4">
      <c r="A1079" s="4" t="s">
        <v>925</v>
      </c>
      <c r="B1079" t="str">
        <f>VLOOKUP(A1079,sales_dataset!I:J,2,0)</f>
        <v>Florida</v>
      </c>
      <c r="C1079" t="str">
        <f>VLOOKUP(A1079,sales_dataset!I:K,3,0)</f>
        <v>Miami</v>
      </c>
      <c r="D1079" t="str">
        <f>IFERROR(_xlfn.XLOOKUP(A1079,sales_dataset!I:I,sales_dataset!G:G),"Not Found")</f>
        <v>Debit Card</v>
      </c>
    </row>
    <row r="1080" spans="1:4">
      <c r="A1080" s="6" t="s">
        <v>927</v>
      </c>
      <c r="B1080" t="str">
        <f>VLOOKUP(A1080,sales_dataset!I:J,2,0)</f>
        <v>Florida</v>
      </c>
      <c r="C1080" t="str">
        <f>VLOOKUP(A1080,sales_dataset!I:K,3,0)</f>
        <v>Tampa</v>
      </c>
      <c r="D1080" t="str">
        <f>IFERROR(_xlfn.XLOOKUP(A1080,sales_dataset!I:I,sales_dataset!G:G),"Not Found")</f>
        <v>Debit Card</v>
      </c>
    </row>
    <row r="1081" spans="1:4">
      <c r="A1081" s="6" t="s">
        <v>664</v>
      </c>
      <c r="B1081" t="str">
        <f>VLOOKUP(A1081,sales_dataset!I:J,2,0)</f>
        <v>Florida</v>
      </c>
      <c r="C1081" t="str">
        <f>VLOOKUP(A1081,sales_dataset!I:K,3,0)</f>
        <v>Orlando</v>
      </c>
      <c r="D1081" t="str">
        <f>IFERROR(_xlfn.XLOOKUP(A1081,sales_dataset!I:I,sales_dataset!G:G),"Not Found")</f>
        <v>UPI</v>
      </c>
    </row>
    <row r="1082" spans="1:4">
      <c r="A1082" s="6" t="s">
        <v>667</v>
      </c>
      <c r="B1082" t="str">
        <f>VLOOKUP(A1082,sales_dataset!I:J,2,0)</f>
        <v>Illinois</v>
      </c>
      <c r="C1082" t="str">
        <f>VLOOKUP(A1082,sales_dataset!I:K,3,0)</f>
        <v>Springfield</v>
      </c>
      <c r="D1082" t="str">
        <f>IFERROR(_xlfn.XLOOKUP(A1082,sales_dataset!I:I,sales_dataset!G:G),"Not Found")</f>
        <v>UPI</v>
      </c>
    </row>
    <row r="1083" spans="1:4">
      <c r="A1083" s="4" t="s">
        <v>669</v>
      </c>
      <c r="B1083" t="str">
        <f>VLOOKUP(A1083,sales_dataset!I:J,2,0)</f>
        <v>California</v>
      </c>
      <c r="C1083" t="str">
        <f>VLOOKUP(A1083,sales_dataset!I:K,3,0)</f>
        <v>San Francisco</v>
      </c>
      <c r="D1083" t="str">
        <f>IFERROR(_xlfn.XLOOKUP(A1083,sales_dataset!I:I,sales_dataset!G:G),"Not Found")</f>
        <v>UPI</v>
      </c>
    </row>
    <row r="1084" spans="1:4">
      <c r="A1084" s="4" t="s">
        <v>311</v>
      </c>
      <c r="B1084" t="str">
        <f>VLOOKUP(A1084,sales_dataset!I:J,2,0)</f>
        <v>Texas</v>
      </c>
      <c r="C1084" t="str">
        <f>VLOOKUP(A1084,sales_dataset!I:K,3,0)</f>
        <v>Houston</v>
      </c>
      <c r="D1084" t="str">
        <f>IFERROR(_xlfn.XLOOKUP(A1084,sales_dataset!I:I,sales_dataset!G:G),"Not Found")</f>
        <v>UPI</v>
      </c>
    </row>
    <row r="1085" spans="1:4">
      <c r="A1085" s="4" t="s">
        <v>1305</v>
      </c>
      <c r="B1085" t="str">
        <f>VLOOKUP(A1085,sales_dataset!I:J,2,0)</f>
        <v>New York</v>
      </c>
      <c r="C1085" t="str">
        <f>VLOOKUP(A1085,sales_dataset!I:K,3,0)</f>
        <v>Buffalo</v>
      </c>
      <c r="D1085" t="str">
        <f>IFERROR(_xlfn.XLOOKUP(A1085,sales_dataset!I:I,sales_dataset!G:G),"Not Found")</f>
        <v>Debit Card</v>
      </c>
    </row>
    <row r="1086" spans="1:4">
      <c r="A1086" s="6" t="s">
        <v>1764</v>
      </c>
      <c r="B1086" t="str">
        <f>VLOOKUP(A1086,sales_dataset!I:J,2,0)</f>
        <v>Florida</v>
      </c>
      <c r="C1086" t="str">
        <f>VLOOKUP(A1086,sales_dataset!I:K,3,0)</f>
        <v>Tampa</v>
      </c>
      <c r="D1086" t="str">
        <f>IFERROR(_xlfn.XLOOKUP(A1086,sales_dataset!I:I,sales_dataset!G:G),"Not Found")</f>
        <v>Debit Card</v>
      </c>
    </row>
    <row r="1087" spans="1:4">
      <c r="A1087" s="6" t="s">
        <v>993</v>
      </c>
      <c r="B1087" t="str">
        <f>VLOOKUP(A1087,sales_dataset!I:J,2,0)</f>
        <v>Ohio</v>
      </c>
      <c r="C1087" t="str">
        <f>VLOOKUP(A1087,sales_dataset!I:K,3,0)</f>
        <v>Cleveland</v>
      </c>
      <c r="D1087" t="str">
        <f>IFERROR(_xlfn.XLOOKUP(A1087,sales_dataset!I:I,sales_dataset!G:G),"Not Found")</f>
        <v>COD</v>
      </c>
    </row>
    <row r="1088" spans="1:4">
      <c r="A1088" s="4" t="s">
        <v>994</v>
      </c>
      <c r="B1088" t="str">
        <f>VLOOKUP(A1088,sales_dataset!I:J,2,0)</f>
        <v>California</v>
      </c>
      <c r="C1088" t="str">
        <f>VLOOKUP(A1088,sales_dataset!I:K,3,0)</f>
        <v>San Diego</v>
      </c>
      <c r="D1088" t="str">
        <f>IFERROR(_xlfn.XLOOKUP(A1088,sales_dataset!I:I,sales_dataset!G:G),"Not Found")</f>
        <v>COD</v>
      </c>
    </row>
    <row r="1089" spans="1:4">
      <c r="A1089" s="6" t="s">
        <v>1766</v>
      </c>
      <c r="B1089" t="str">
        <f>VLOOKUP(A1089,sales_dataset!I:J,2,0)</f>
        <v>Florida</v>
      </c>
      <c r="C1089" t="str">
        <f>VLOOKUP(A1089,sales_dataset!I:K,3,0)</f>
        <v>Tampa</v>
      </c>
      <c r="D1089" t="str">
        <f>IFERROR(_xlfn.XLOOKUP(A1089,sales_dataset!I:I,sales_dataset!G:G),"Not Found")</f>
        <v>UPI</v>
      </c>
    </row>
    <row r="1090" spans="1:4">
      <c r="A1090" s="4" t="s">
        <v>1768</v>
      </c>
      <c r="B1090" t="str">
        <f>VLOOKUP(A1090,sales_dataset!I:J,2,0)</f>
        <v>New York</v>
      </c>
      <c r="C1090" t="str">
        <f>VLOOKUP(A1090,sales_dataset!I:K,3,0)</f>
        <v>Buffalo</v>
      </c>
      <c r="D1090" t="str">
        <f>IFERROR(_xlfn.XLOOKUP(A1090,sales_dataset!I:I,sales_dataset!G:G),"Not Found")</f>
        <v>UPI</v>
      </c>
    </row>
    <row r="1091" spans="1:4">
      <c r="A1091" s="6" t="s">
        <v>1771</v>
      </c>
      <c r="B1091" t="str">
        <f>VLOOKUP(A1091,sales_dataset!I:J,2,0)</f>
        <v>California</v>
      </c>
      <c r="C1091" t="str">
        <f>VLOOKUP(A1091,sales_dataset!I:K,3,0)</f>
        <v>Los Angeles</v>
      </c>
      <c r="D1091" t="str">
        <f>IFERROR(_xlfn.XLOOKUP(A1091,sales_dataset!I:I,sales_dataset!G:G),"Not Found")</f>
        <v>UPI</v>
      </c>
    </row>
    <row r="1092" spans="1:4">
      <c r="A1092" s="4" t="s">
        <v>220</v>
      </c>
      <c r="B1092" t="str">
        <f>VLOOKUP(A1092,sales_dataset!I:J,2,0)</f>
        <v>Illinois</v>
      </c>
      <c r="C1092" t="str">
        <f>VLOOKUP(A1092,sales_dataset!I:K,3,0)</f>
        <v>Springfield</v>
      </c>
      <c r="D1092" t="str">
        <f>IFERROR(_xlfn.XLOOKUP(A1092,sales_dataset!I:I,sales_dataset!G:G),"Not Found")</f>
        <v>UPI</v>
      </c>
    </row>
    <row r="1093" spans="1:4">
      <c r="A1093" s="6" t="s">
        <v>1604</v>
      </c>
      <c r="B1093" t="str">
        <f>VLOOKUP(A1093,sales_dataset!I:J,2,0)</f>
        <v>Illinois</v>
      </c>
      <c r="C1093" t="str">
        <f>VLOOKUP(A1093,sales_dataset!I:K,3,0)</f>
        <v>Peoria</v>
      </c>
      <c r="D1093" t="str">
        <f>IFERROR(_xlfn.XLOOKUP(A1093,sales_dataset!I:I,sales_dataset!G:G),"Not Found")</f>
        <v>Debit Card</v>
      </c>
    </row>
    <row r="1094" spans="1:4">
      <c r="A1094" s="4" t="s">
        <v>1605</v>
      </c>
      <c r="B1094" t="str">
        <f>VLOOKUP(A1094,sales_dataset!I:J,2,0)</f>
        <v>New York</v>
      </c>
      <c r="C1094" t="str">
        <f>VLOOKUP(A1094,sales_dataset!I:K,3,0)</f>
        <v>Buffalo</v>
      </c>
      <c r="D1094" t="str">
        <f>IFERROR(_xlfn.XLOOKUP(A1094,sales_dataset!I:I,sales_dataset!G:G),"Not Found")</f>
        <v>Debit Card</v>
      </c>
    </row>
    <row r="1095" spans="1:4">
      <c r="A1095" s="6" t="s">
        <v>1607</v>
      </c>
      <c r="B1095" t="str">
        <f>VLOOKUP(A1095,sales_dataset!I:J,2,0)</f>
        <v>Ohio</v>
      </c>
      <c r="C1095" t="str">
        <f>VLOOKUP(A1095,sales_dataset!I:K,3,0)</f>
        <v>Columbus</v>
      </c>
      <c r="D1095" t="str">
        <f>IFERROR(_xlfn.XLOOKUP(A1095,sales_dataset!I:I,sales_dataset!G:G),"Not Found")</f>
        <v>Debit Card</v>
      </c>
    </row>
    <row r="1096" spans="1:4">
      <c r="A1096" s="6" t="s">
        <v>846</v>
      </c>
      <c r="B1096" t="str">
        <f>VLOOKUP(A1096,sales_dataset!I:J,2,0)</f>
        <v>Ohio</v>
      </c>
      <c r="C1096" t="str">
        <f>VLOOKUP(A1096,sales_dataset!I:K,3,0)</f>
        <v>Cincinnati</v>
      </c>
      <c r="D1096" t="str">
        <f>IFERROR(_xlfn.XLOOKUP(A1096,sales_dataset!I:I,sales_dataset!G:G),"Not Found")</f>
        <v>COD</v>
      </c>
    </row>
    <row r="1097" spans="1:4">
      <c r="A1097" s="6" t="s">
        <v>1774</v>
      </c>
      <c r="B1097" t="str">
        <f>VLOOKUP(A1097,sales_dataset!I:J,2,0)</f>
        <v>Texas</v>
      </c>
      <c r="C1097" t="str">
        <f>VLOOKUP(A1097,sales_dataset!I:K,3,0)</f>
        <v>Dallas</v>
      </c>
      <c r="D1097" t="str">
        <f>IFERROR(_xlfn.XLOOKUP(A1097,sales_dataset!I:I,sales_dataset!G:G),"Not Found")</f>
        <v>EMI</v>
      </c>
    </row>
    <row r="1098" spans="1:4">
      <c r="A1098" s="6" t="s">
        <v>1777</v>
      </c>
      <c r="B1098" t="str">
        <f>VLOOKUP(A1098,sales_dataset!I:J,2,0)</f>
        <v>New York</v>
      </c>
      <c r="C1098" t="str">
        <f>VLOOKUP(A1098,sales_dataset!I:K,3,0)</f>
        <v>Buffalo</v>
      </c>
      <c r="D1098" t="str">
        <f>IFERROR(_xlfn.XLOOKUP(A1098,sales_dataset!I:I,sales_dataset!G:G),"Not Found")</f>
        <v>UPI</v>
      </c>
    </row>
    <row r="1099" spans="1:4">
      <c r="A1099" s="4" t="s">
        <v>1780</v>
      </c>
      <c r="B1099" t="str">
        <f>VLOOKUP(A1099,sales_dataset!I:J,2,0)</f>
        <v>Texas</v>
      </c>
      <c r="C1099" t="str">
        <f>VLOOKUP(A1099,sales_dataset!I:K,3,0)</f>
        <v>Austin</v>
      </c>
      <c r="D1099" t="str">
        <f>IFERROR(_xlfn.XLOOKUP(A1099,sales_dataset!I:I,sales_dataset!G:G),"Not Found")</f>
        <v>COD</v>
      </c>
    </row>
    <row r="1100" spans="1:4">
      <c r="A1100" s="4" t="s">
        <v>1782</v>
      </c>
      <c r="B1100" t="str">
        <f>VLOOKUP(A1100,sales_dataset!I:J,2,0)</f>
        <v>Ohio</v>
      </c>
      <c r="C1100" t="str">
        <f>VLOOKUP(A1100,sales_dataset!I:K,3,0)</f>
        <v>Cleveland</v>
      </c>
      <c r="D1100" t="str">
        <f>IFERROR(_xlfn.XLOOKUP(A1100,sales_dataset!I:I,sales_dataset!G:G),"Not Found")</f>
        <v>Credit Card</v>
      </c>
    </row>
    <row r="1101" spans="1:4">
      <c r="A1101" s="6" t="s">
        <v>1783</v>
      </c>
      <c r="B1101" t="str">
        <f>VLOOKUP(A1101,sales_dataset!I:J,2,0)</f>
        <v>Illinois</v>
      </c>
      <c r="C1101" t="str">
        <f>VLOOKUP(A1101,sales_dataset!I:K,3,0)</f>
        <v>Chicago</v>
      </c>
      <c r="D1101" t="str">
        <f>IFERROR(_xlfn.XLOOKUP(A1101,sales_dataset!I:I,sales_dataset!G:G),"Not Found")</f>
        <v>Credit Card</v>
      </c>
    </row>
    <row r="1102" spans="1:4">
      <c r="A1102" s="6" t="s">
        <v>598</v>
      </c>
      <c r="B1102" t="str">
        <f>VLOOKUP(A1102,sales_dataset!I:J,2,0)</f>
        <v>New York</v>
      </c>
      <c r="C1102" t="str">
        <f>VLOOKUP(A1102,sales_dataset!I:K,3,0)</f>
        <v>Rochester</v>
      </c>
      <c r="D1102" t="str">
        <f>IFERROR(_xlfn.XLOOKUP(A1102,sales_dataset!I:I,sales_dataset!G:G),"Not Found")</f>
        <v>Debit Card</v>
      </c>
    </row>
    <row r="1103" spans="1:4">
      <c r="A1103" s="4" t="s">
        <v>599</v>
      </c>
      <c r="B1103" t="str">
        <f>VLOOKUP(A1103,sales_dataset!I:J,2,0)</f>
        <v>Illinois</v>
      </c>
      <c r="C1103" t="str">
        <f>VLOOKUP(A1103,sales_dataset!I:K,3,0)</f>
        <v>Peoria</v>
      </c>
      <c r="D1103" t="str">
        <f>IFERROR(_xlfn.XLOOKUP(A1103,sales_dataset!I:I,sales_dataset!G:G),"Not Found")</f>
        <v>Debit Card</v>
      </c>
    </row>
    <row r="1104" spans="1:4">
      <c r="A1104" s="4" t="s">
        <v>1653</v>
      </c>
      <c r="B1104" t="str">
        <f>VLOOKUP(A1104,sales_dataset!I:J,2,0)</f>
        <v>Ohio</v>
      </c>
      <c r="C1104" t="str">
        <f>VLOOKUP(A1104,sales_dataset!I:K,3,0)</f>
        <v>Cleveland</v>
      </c>
      <c r="D1104" t="str">
        <f>IFERROR(_xlfn.XLOOKUP(A1104,sales_dataset!I:I,sales_dataset!G:G),"Not Found")</f>
        <v>UPI</v>
      </c>
    </row>
    <row r="1105" spans="1:4">
      <c r="A1105" s="6" t="s">
        <v>1655</v>
      </c>
      <c r="B1105" t="str">
        <f>VLOOKUP(A1105,sales_dataset!I:J,2,0)</f>
        <v>California</v>
      </c>
      <c r="C1105" t="str">
        <f>VLOOKUP(A1105,sales_dataset!I:K,3,0)</f>
        <v>Los Angeles</v>
      </c>
      <c r="D1105" t="str">
        <f>IFERROR(_xlfn.XLOOKUP(A1105,sales_dataset!I:I,sales_dataset!G:G),"Not Found")</f>
        <v>UPI</v>
      </c>
    </row>
    <row r="1106" spans="1:4">
      <c r="A1106" s="4" t="s">
        <v>1657</v>
      </c>
      <c r="B1106" t="str">
        <f>VLOOKUP(A1106,sales_dataset!I:J,2,0)</f>
        <v>New York</v>
      </c>
      <c r="C1106" t="str">
        <f>VLOOKUP(A1106,sales_dataset!I:K,3,0)</f>
        <v>Rochester</v>
      </c>
      <c r="D1106" t="str">
        <f>IFERROR(_xlfn.XLOOKUP(A1106,sales_dataset!I:I,sales_dataset!G:G),"Not Found")</f>
        <v>UPI</v>
      </c>
    </row>
    <row r="1107" spans="1:4">
      <c r="A1107" s="4" t="s">
        <v>1786</v>
      </c>
      <c r="B1107" t="str">
        <f>VLOOKUP(A1107,sales_dataset!I:J,2,0)</f>
        <v>New York</v>
      </c>
      <c r="C1107" t="str">
        <f>VLOOKUP(A1107,sales_dataset!I:K,3,0)</f>
        <v>Rochester</v>
      </c>
      <c r="D1107" t="str">
        <f>IFERROR(_xlfn.XLOOKUP(A1107,sales_dataset!I:I,sales_dataset!G:G),"Not Found")</f>
        <v>COD</v>
      </c>
    </row>
    <row r="1108" spans="1:4">
      <c r="A1108" s="6" t="s">
        <v>520</v>
      </c>
      <c r="B1108" t="str">
        <f>VLOOKUP(A1108,sales_dataset!I:J,2,0)</f>
        <v>Florida</v>
      </c>
      <c r="C1108" t="str">
        <f>VLOOKUP(A1108,sales_dataset!I:K,3,0)</f>
        <v>Tampa</v>
      </c>
      <c r="D1108" t="str">
        <f>IFERROR(_xlfn.XLOOKUP(A1108,sales_dataset!I:I,sales_dataset!G:G),"Not Found")</f>
        <v>EMI</v>
      </c>
    </row>
    <row r="1109" spans="1:4">
      <c r="A1109" s="4" t="s">
        <v>720</v>
      </c>
      <c r="B1109" t="str">
        <f>VLOOKUP(A1109,sales_dataset!I:J,2,0)</f>
        <v>Florida</v>
      </c>
      <c r="C1109" t="str">
        <f>VLOOKUP(A1109,sales_dataset!I:K,3,0)</f>
        <v>Orlando</v>
      </c>
      <c r="D1109" t="str">
        <f>IFERROR(_xlfn.XLOOKUP(A1109,sales_dataset!I:I,sales_dataset!G:G),"Not Found")</f>
        <v>Credit Card</v>
      </c>
    </row>
    <row r="1110" spans="1:4">
      <c r="A1110" s="4" t="s">
        <v>1083</v>
      </c>
      <c r="B1110" t="str">
        <f>VLOOKUP(A1110,sales_dataset!I:J,2,0)</f>
        <v>New York</v>
      </c>
      <c r="C1110" t="str">
        <f>VLOOKUP(A1110,sales_dataset!I:K,3,0)</f>
        <v>Buffalo</v>
      </c>
      <c r="D1110" t="str">
        <f>IFERROR(_xlfn.XLOOKUP(A1110,sales_dataset!I:I,sales_dataset!G:G),"Not Found")</f>
        <v>UPI</v>
      </c>
    </row>
    <row r="1111" spans="1:4">
      <c r="A1111" s="6" t="s">
        <v>1789</v>
      </c>
      <c r="B1111" t="str">
        <f>VLOOKUP(A1111,sales_dataset!I:J,2,0)</f>
        <v>Florida</v>
      </c>
      <c r="C1111" t="str">
        <f>VLOOKUP(A1111,sales_dataset!I:K,3,0)</f>
        <v>Tampa</v>
      </c>
      <c r="D1111" t="str">
        <f>IFERROR(_xlfn.XLOOKUP(A1111,sales_dataset!I:I,sales_dataset!G:G),"Not Found")</f>
        <v>COD</v>
      </c>
    </row>
    <row r="1112" spans="1:4">
      <c r="A1112" s="4" t="s">
        <v>693</v>
      </c>
      <c r="B1112" t="str">
        <f>VLOOKUP(A1112,sales_dataset!I:J,2,0)</f>
        <v>Ohio</v>
      </c>
      <c r="C1112" t="str">
        <f>VLOOKUP(A1112,sales_dataset!I:K,3,0)</f>
        <v>Cincinnati</v>
      </c>
      <c r="D1112" t="str">
        <f>IFERROR(_xlfn.XLOOKUP(A1112,sales_dataset!I:I,sales_dataset!G:G),"Not Found")</f>
        <v>EMI</v>
      </c>
    </row>
    <row r="1113" spans="1:4">
      <c r="A1113" s="6" t="s">
        <v>1281</v>
      </c>
      <c r="B1113" t="str">
        <f>VLOOKUP(A1113,sales_dataset!I:J,2,0)</f>
        <v>California</v>
      </c>
      <c r="C1113" t="str">
        <f>VLOOKUP(A1113,sales_dataset!I:K,3,0)</f>
        <v>Los Angeles</v>
      </c>
      <c r="D1113" t="str">
        <f>IFERROR(_xlfn.XLOOKUP(A1113,sales_dataset!I:I,sales_dataset!G:G),"Not Found")</f>
        <v>EMI</v>
      </c>
    </row>
    <row r="1114" spans="1:4">
      <c r="A1114" s="4" t="s">
        <v>643</v>
      </c>
      <c r="B1114" t="str">
        <f>VLOOKUP(A1114,sales_dataset!I:J,2,0)</f>
        <v>California</v>
      </c>
      <c r="C1114" t="str">
        <f>VLOOKUP(A1114,sales_dataset!I:K,3,0)</f>
        <v>San Diego</v>
      </c>
      <c r="D1114" t="str">
        <f>IFERROR(_xlfn.XLOOKUP(A1114,sales_dataset!I:I,sales_dataset!G:G),"Not Found")</f>
        <v>UPI</v>
      </c>
    </row>
    <row r="1115" spans="1:4">
      <c r="A1115" s="6" t="s">
        <v>1791</v>
      </c>
      <c r="B1115" t="str">
        <f>VLOOKUP(A1115,sales_dataset!I:J,2,0)</f>
        <v>Ohio</v>
      </c>
      <c r="C1115" t="str">
        <f>VLOOKUP(A1115,sales_dataset!I:K,3,0)</f>
        <v>Cincinnati</v>
      </c>
      <c r="D1115" t="str">
        <f>IFERROR(_xlfn.XLOOKUP(A1115,sales_dataset!I:I,sales_dataset!G:G),"Not Found")</f>
        <v>EMI</v>
      </c>
    </row>
    <row r="1116" spans="1:4">
      <c r="A1116" s="6" t="s">
        <v>1794</v>
      </c>
      <c r="B1116" t="str">
        <f>VLOOKUP(A1116,sales_dataset!I:J,2,0)</f>
        <v>Illinois</v>
      </c>
      <c r="C1116" t="str">
        <f>VLOOKUP(A1116,sales_dataset!I:K,3,0)</f>
        <v>Springfield</v>
      </c>
      <c r="D1116" t="str">
        <f>IFERROR(_xlfn.XLOOKUP(A1116,sales_dataset!I:I,sales_dataset!G:G),"Not Found")</f>
        <v>Credit Card</v>
      </c>
    </row>
    <row r="1117" spans="1:4">
      <c r="A1117" s="6" t="s">
        <v>784</v>
      </c>
      <c r="B1117" t="str">
        <f>VLOOKUP(A1117,sales_dataset!I:J,2,0)</f>
        <v>Ohio</v>
      </c>
      <c r="C1117" t="str">
        <f>VLOOKUP(A1117,sales_dataset!I:K,3,0)</f>
        <v>Cleveland</v>
      </c>
      <c r="D1117" t="str">
        <f>IFERROR(_xlfn.XLOOKUP(A1117,sales_dataset!I:I,sales_dataset!G:G),"Not Found")</f>
        <v>COD</v>
      </c>
    </row>
    <row r="1118" spans="1:4">
      <c r="A1118" s="4" t="s">
        <v>785</v>
      </c>
      <c r="B1118" t="str">
        <f>VLOOKUP(A1118,sales_dataset!I:J,2,0)</f>
        <v>California</v>
      </c>
      <c r="C1118" t="str">
        <f>VLOOKUP(A1118,sales_dataset!I:K,3,0)</f>
        <v>Los Angeles</v>
      </c>
      <c r="D1118" t="str">
        <f>IFERROR(_xlfn.XLOOKUP(A1118,sales_dataset!I:I,sales_dataset!G:G),"Not Found")</f>
        <v>COD</v>
      </c>
    </row>
    <row r="1119" spans="1:4">
      <c r="A1119" s="6" t="s">
        <v>872</v>
      </c>
      <c r="B1119" t="str">
        <f>VLOOKUP(A1119,sales_dataset!I:J,2,0)</f>
        <v>Ohio</v>
      </c>
      <c r="C1119" t="str">
        <f>VLOOKUP(A1119,sales_dataset!I:K,3,0)</f>
        <v>Cleveland</v>
      </c>
      <c r="D1119" t="str">
        <f>IFERROR(_xlfn.XLOOKUP(A1119,sales_dataset!I:I,sales_dataset!G:G),"Not Found")</f>
        <v>EMI</v>
      </c>
    </row>
    <row r="1120" spans="1:4">
      <c r="A1120" s="6" t="s">
        <v>667</v>
      </c>
      <c r="B1120" t="str">
        <f>VLOOKUP(A1120,sales_dataset!I:J,2,0)</f>
        <v>Illinois</v>
      </c>
      <c r="C1120" t="str">
        <f>VLOOKUP(A1120,sales_dataset!I:K,3,0)</f>
        <v>Springfield</v>
      </c>
      <c r="D1120" t="str">
        <f>IFERROR(_xlfn.XLOOKUP(A1120,sales_dataset!I:I,sales_dataset!G:G),"Not Found")</f>
        <v>UPI</v>
      </c>
    </row>
    <row r="1121" spans="1:4">
      <c r="A1121" s="4" t="s">
        <v>669</v>
      </c>
      <c r="B1121" t="str">
        <f>VLOOKUP(A1121,sales_dataset!I:J,2,0)</f>
        <v>California</v>
      </c>
      <c r="C1121" t="str">
        <f>VLOOKUP(A1121,sales_dataset!I:K,3,0)</f>
        <v>San Francisco</v>
      </c>
      <c r="D1121" t="str">
        <f>IFERROR(_xlfn.XLOOKUP(A1121,sales_dataset!I:I,sales_dataset!G:G),"Not Found")</f>
        <v>UPI</v>
      </c>
    </row>
    <row r="1122" spans="1:4">
      <c r="A1122" s="4" t="s">
        <v>1724</v>
      </c>
      <c r="B1122" t="str">
        <f>VLOOKUP(A1122,sales_dataset!I:J,2,0)</f>
        <v>California</v>
      </c>
      <c r="C1122" t="str">
        <f>VLOOKUP(A1122,sales_dataset!I:K,3,0)</f>
        <v>Los Angeles</v>
      </c>
      <c r="D1122" t="str">
        <f>IFERROR(_xlfn.XLOOKUP(A1122,sales_dataset!I:I,sales_dataset!G:G),"Not Found")</f>
        <v>Credit Card</v>
      </c>
    </row>
    <row r="1123" spans="1:4">
      <c r="A1123" s="6" t="s">
        <v>1797</v>
      </c>
      <c r="B1123" t="str">
        <f>VLOOKUP(A1123,sales_dataset!I:J,2,0)</f>
        <v>Illinois</v>
      </c>
      <c r="C1123" t="str">
        <f>VLOOKUP(A1123,sales_dataset!I:K,3,0)</f>
        <v>Chicago</v>
      </c>
      <c r="D1123" t="str">
        <f>IFERROR(_xlfn.XLOOKUP(A1123,sales_dataset!I:I,sales_dataset!G:G),"Not Found")</f>
        <v>UPI</v>
      </c>
    </row>
    <row r="1124" spans="1:4">
      <c r="A1124" s="6" t="s">
        <v>702</v>
      </c>
      <c r="B1124" t="str">
        <f>VLOOKUP(A1124,sales_dataset!I:J,2,0)</f>
        <v>New York</v>
      </c>
      <c r="C1124" t="str">
        <f>VLOOKUP(A1124,sales_dataset!I:K,3,0)</f>
        <v>Rochester</v>
      </c>
      <c r="D1124" t="str">
        <f>IFERROR(_xlfn.XLOOKUP(A1124,sales_dataset!I:I,sales_dataset!G:G),"Not Found")</f>
        <v>COD</v>
      </c>
    </row>
    <row r="1125" spans="1:4">
      <c r="A1125" s="6" t="s">
        <v>1799</v>
      </c>
      <c r="B1125" t="str">
        <f>VLOOKUP(A1125,sales_dataset!I:J,2,0)</f>
        <v>New York</v>
      </c>
      <c r="C1125" t="str">
        <f>VLOOKUP(A1125,sales_dataset!I:K,3,0)</f>
        <v>New York City</v>
      </c>
      <c r="D1125" t="str">
        <f>IFERROR(_xlfn.XLOOKUP(A1125,sales_dataset!I:I,sales_dataset!G:G),"Not Found")</f>
        <v>Credit Card</v>
      </c>
    </row>
    <row r="1126" spans="1:4">
      <c r="A1126" s="4" t="s">
        <v>602</v>
      </c>
      <c r="B1126" t="str">
        <f>VLOOKUP(A1126,sales_dataset!I:J,2,0)</f>
        <v>California</v>
      </c>
      <c r="C1126" t="str">
        <f>VLOOKUP(A1126,sales_dataset!I:K,3,0)</f>
        <v>Los Angeles</v>
      </c>
      <c r="D1126" t="str">
        <f>IFERROR(_xlfn.XLOOKUP(A1126,sales_dataset!I:I,sales_dataset!G:G),"Not Found")</f>
        <v>Credit Card</v>
      </c>
    </row>
    <row r="1127" spans="1:4">
      <c r="A1127" s="6" t="s">
        <v>267</v>
      </c>
      <c r="B1127" t="str">
        <f>VLOOKUP(A1127,sales_dataset!I:J,2,0)</f>
        <v>California</v>
      </c>
      <c r="C1127" t="str">
        <f>VLOOKUP(A1127,sales_dataset!I:K,3,0)</f>
        <v>San Francisco</v>
      </c>
      <c r="D1127" t="str">
        <f>IFERROR(_xlfn.XLOOKUP(A1127,sales_dataset!I:I,sales_dataset!G:G),"Not Found")</f>
        <v>Debit Card</v>
      </c>
    </row>
    <row r="1128" spans="1:4">
      <c r="A1128" s="4" t="s">
        <v>1802</v>
      </c>
      <c r="B1128" t="str">
        <f>VLOOKUP(A1128,sales_dataset!I:J,2,0)</f>
        <v>New York</v>
      </c>
      <c r="C1128" t="str">
        <f>VLOOKUP(A1128,sales_dataset!I:K,3,0)</f>
        <v>Rochester</v>
      </c>
      <c r="D1128" t="str">
        <f>IFERROR(_xlfn.XLOOKUP(A1128,sales_dataset!I:I,sales_dataset!G:G),"Not Found")</f>
        <v>Debit Card</v>
      </c>
    </row>
    <row r="1129" spans="1:4">
      <c r="A1129" s="6" t="s">
        <v>1803</v>
      </c>
      <c r="B1129" t="str">
        <f>VLOOKUP(A1129,sales_dataset!I:J,2,0)</f>
        <v>Florida</v>
      </c>
      <c r="C1129" t="str">
        <f>VLOOKUP(A1129,sales_dataset!I:K,3,0)</f>
        <v>Miami</v>
      </c>
      <c r="D1129" t="str">
        <f>IFERROR(_xlfn.XLOOKUP(A1129,sales_dataset!I:I,sales_dataset!G:G),"Not Found")</f>
        <v>Debit Card</v>
      </c>
    </row>
    <row r="1130" spans="1:4">
      <c r="A1130" s="4" t="s">
        <v>1734</v>
      </c>
      <c r="B1130" t="str">
        <f>VLOOKUP(A1130,sales_dataset!I:J,2,0)</f>
        <v>New York</v>
      </c>
      <c r="C1130" t="str">
        <f>VLOOKUP(A1130,sales_dataset!I:K,3,0)</f>
        <v>New York City</v>
      </c>
      <c r="D1130" t="str">
        <f>IFERROR(_xlfn.XLOOKUP(A1130,sales_dataset!I:I,sales_dataset!G:G),"Not Found")</f>
        <v>UPI</v>
      </c>
    </row>
    <row r="1131" spans="1:4">
      <c r="A1131" s="6" t="s">
        <v>1735</v>
      </c>
      <c r="B1131" t="str">
        <f>VLOOKUP(A1131,sales_dataset!I:J,2,0)</f>
        <v>Ohio</v>
      </c>
      <c r="C1131" t="str">
        <f>VLOOKUP(A1131,sales_dataset!I:K,3,0)</f>
        <v>Cleveland</v>
      </c>
      <c r="D1131" t="str">
        <f>IFERROR(_xlfn.XLOOKUP(A1131,sales_dataset!I:I,sales_dataset!G:G),"Not Found")</f>
        <v>UPI</v>
      </c>
    </row>
    <row r="1132" spans="1:4">
      <c r="A1132" s="6" t="s">
        <v>370</v>
      </c>
      <c r="B1132" t="str">
        <f>VLOOKUP(A1132,sales_dataset!I:J,2,0)</f>
        <v>Texas</v>
      </c>
      <c r="C1132" t="str">
        <f>VLOOKUP(A1132,sales_dataset!I:K,3,0)</f>
        <v>Dallas</v>
      </c>
      <c r="D1132" t="str">
        <f>IFERROR(_xlfn.XLOOKUP(A1132,sales_dataset!I:I,sales_dataset!G:G),"Not Found")</f>
        <v>Credit Card</v>
      </c>
    </row>
    <row r="1133" spans="1:4">
      <c r="A1133" s="4" t="s">
        <v>372</v>
      </c>
      <c r="B1133" t="str">
        <f>VLOOKUP(A1133,sales_dataset!I:J,2,0)</f>
        <v>Illinois</v>
      </c>
      <c r="C1133" t="str">
        <f>VLOOKUP(A1133,sales_dataset!I:K,3,0)</f>
        <v>Springfield</v>
      </c>
      <c r="D1133" t="str">
        <f>IFERROR(_xlfn.XLOOKUP(A1133,sales_dataset!I:I,sales_dataset!G:G),"Not Found")</f>
        <v>Credit Card</v>
      </c>
    </row>
    <row r="1134" spans="1:4">
      <c r="A1134" s="4" t="s">
        <v>1806</v>
      </c>
      <c r="B1134" t="str">
        <f>VLOOKUP(A1134,sales_dataset!I:J,2,0)</f>
        <v>New York</v>
      </c>
      <c r="C1134" t="str">
        <f>VLOOKUP(A1134,sales_dataset!I:K,3,0)</f>
        <v>Buffalo</v>
      </c>
      <c r="D1134" t="str">
        <f>IFERROR(_xlfn.XLOOKUP(A1134,sales_dataset!I:I,sales_dataset!G:G),"Not Found")</f>
        <v>COD</v>
      </c>
    </row>
    <row r="1135" spans="1:4">
      <c r="A1135" s="6" t="s">
        <v>1807</v>
      </c>
      <c r="B1135" t="str">
        <f>VLOOKUP(A1135,sales_dataset!I:J,2,0)</f>
        <v>Texas</v>
      </c>
      <c r="C1135" t="str">
        <f>VLOOKUP(A1135,sales_dataset!I:K,3,0)</f>
        <v>Austin</v>
      </c>
      <c r="D1135" t="str">
        <f>IFERROR(_xlfn.XLOOKUP(A1135,sales_dataset!I:I,sales_dataset!G:G),"Not Found")</f>
        <v>COD</v>
      </c>
    </row>
    <row r="1136" spans="1:4">
      <c r="A1136" s="4" t="s">
        <v>1809</v>
      </c>
      <c r="B1136" t="str">
        <f>VLOOKUP(A1136,sales_dataset!I:J,2,0)</f>
        <v>California</v>
      </c>
      <c r="C1136" t="str">
        <f>VLOOKUP(A1136,sales_dataset!I:K,3,0)</f>
        <v>San Francisco</v>
      </c>
      <c r="D1136" t="str">
        <f>IFERROR(_xlfn.XLOOKUP(A1136,sales_dataset!I:I,sales_dataset!G:G),"Not Found")</f>
        <v>COD</v>
      </c>
    </row>
    <row r="1137" spans="1:4">
      <c r="A1137" s="6" t="s">
        <v>1453</v>
      </c>
      <c r="B1137" t="str">
        <f>VLOOKUP(A1137,sales_dataset!I:J,2,0)</f>
        <v>Ohio</v>
      </c>
      <c r="C1137" t="str">
        <f>VLOOKUP(A1137,sales_dataset!I:K,3,0)</f>
        <v>Columbus</v>
      </c>
      <c r="D1137" t="str">
        <f>IFERROR(_xlfn.XLOOKUP(A1137,sales_dataset!I:I,sales_dataset!G:G),"Not Found")</f>
        <v>UPI</v>
      </c>
    </row>
    <row r="1138" spans="1:4">
      <c r="A1138" s="4" t="s">
        <v>1454</v>
      </c>
      <c r="B1138" t="str">
        <f>VLOOKUP(A1138,sales_dataset!I:J,2,0)</f>
        <v>Illinois</v>
      </c>
      <c r="C1138" t="str">
        <f>VLOOKUP(A1138,sales_dataset!I:K,3,0)</f>
        <v>Peoria</v>
      </c>
      <c r="D1138" t="str">
        <f>IFERROR(_xlfn.XLOOKUP(A1138,sales_dataset!I:I,sales_dataset!G:G),"Not Found")</f>
        <v>UPI</v>
      </c>
    </row>
    <row r="1139" spans="1:4">
      <c r="A1139" s="6" t="s">
        <v>240</v>
      </c>
      <c r="B1139" t="str">
        <f>VLOOKUP(A1139,sales_dataset!I:J,2,0)</f>
        <v>Florida</v>
      </c>
      <c r="C1139" t="str">
        <f>VLOOKUP(A1139,sales_dataset!I:K,3,0)</f>
        <v>Tampa</v>
      </c>
      <c r="D1139" t="str">
        <f>IFERROR(_xlfn.XLOOKUP(A1139,sales_dataset!I:I,sales_dataset!G:G),"Not Found")</f>
        <v>EMI</v>
      </c>
    </row>
    <row r="1140" spans="1:4">
      <c r="A1140" s="6" t="s">
        <v>1812</v>
      </c>
      <c r="B1140" t="str">
        <f>VLOOKUP(A1140,sales_dataset!I:J,2,0)</f>
        <v>California</v>
      </c>
      <c r="C1140" t="str">
        <f>VLOOKUP(A1140,sales_dataset!I:K,3,0)</f>
        <v>San Francisco</v>
      </c>
      <c r="D1140" t="str">
        <f>IFERROR(_xlfn.XLOOKUP(A1140,sales_dataset!I:I,sales_dataset!G:G),"Not Found")</f>
        <v>Debit Card</v>
      </c>
    </row>
    <row r="1141" spans="1:4">
      <c r="A1141" s="4" t="s">
        <v>1814</v>
      </c>
      <c r="B1141" t="str">
        <f>VLOOKUP(A1141,sales_dataset!I:J,2,0)</f>
        <v>Florida</v>
      </c>
      <c r="C1141" t="str">
        <f>VLOOKUP(A1141,sales_dataset!I:K,3,0)</f>
        <v>Tampa</v>
      </c>
      <c r="D1141" t="str">
        <f>IFERROR(_xlfn.XLOOKUP(A1141,sales_dataset!I:I,sales_dataset!G:G),"Not Found")</f>
        <v>EMI</v>
      </c>
    </row>
    <row r="1142" spans="1:4">
      <c r="A1142" s="4" t="s">
        <v>638</v>
      </c>
      <c r="B1142" t="str">
        <f>VLOOKUP(A1142,sales_dataset!I:J,2,0)</f>
        <v>New York</v>
      </c>
      <c r="C1142" t="str">
        <f>VLOOKUP(A1142,sales_dataset!I:K,3,0)</f>
        <v>Buffalo</v>
      </c>
      <c r="D1142" t="str">
        <f>IFERROR(_xlfn.XLOOKUP(A1142,sales_dataset!I:I,sales_dataset!G:G),"Not Found")</f>
        <v>EMI</v>
      </c>
    </row>
    <row r="1143" spans="1:4">
      <c r="A1143" s="6" t="s">
        <v>640</v>
      </c>
      <c r="B1143" t="str">
        <f>VLOOKUP(A1143,sales_dataset!I:J,2,0)</f>
        <v>Ohio</v>
      </c>
      <c r="C1143" t="str">
        <f>VLOOKUP(A1143,sales_dataset!I:K,3,0)</f>
        <v>Cleveland</v>
      </c>
      <c r="D1143" t="str">
        <f>IFERROR(_xlfn.XLOOKUP(A1143,sales_dataset!I:I,sales_dataset!G:G),"Not Found")</f>
        <v>EMI</v>
      </c>
    </row>
    <row r="1144" spans="1:4">
      <c r="A1144" s="4" t="s">
        <v>207</v>
      </c>
      <c r="B1144" t="str">
        <f>VLOOKUP(A1144,sales_dataset!I:J,2,0)</f>
        <v>California</v>
      </c>
      <c r="C1144" t="str">
        <f>VLOOKUP(A1144,sales_dataset!I:K,3,0)</f>
        <v>San Francisco</v>
      </c>
      <c r="D1144" t="str">
        <f>IFERROR(_xlfn.XLOOKUP(A1144,sales_dataset!I:I,sales_dataset!G:G),"Not Found")</f>
        <v>COD</v>
      </c>
    </row>
    <row r="1145" spans="1:4">
      <c r="A1145" s="4" t="s">
        <v>1308</v>
      </c>
      <c r="B1145" t="str">
        <f>VLOOKUP(A1145,sales_dataset!I:J,2,0)</f>
        <v>Illinois</v>
      </c>
      <c r="C1145" t="str">
        <f>VLOOKUP(A1145,sales_dataset!I:K,3,0)</f>
        <v>Peoria</v>
      </c>
      <c r="D1145" t="str">
        <f>IFERROR(_xlfn.XLOOKUP(A1145,sales_dataset!I:I,sales_dataset!G:G),"Not Found")</f>
        <v>UPI</v>
      </c>
    </row>
    <row r="1146" spans="1:4">
      <c r="A1146" s="6" t="s">
        <v>1817</v>
      </c>
      <c r="B1146" t="str">
        <f>VLOOKUP(A1146,sales_dataset!I:J,2,0)</f>
        <v>Texas</v>
      </c>
      <c r="C1146" t="str">
        <f>VLOOKUP(A1146,sales_dataset!I:K,3,0)</f>
        <v>Austin</v>
      </c>
      <c r="D1146" t="str">
        <f>IFERROR(_xlfn.XLOOKUP(A1146,sales_dataset!I:I,sales_dataset!G:G),"Not Found")</f>
        <v>COD</v>
      </c>
    </row>
    <row r="1147" spans="1:4">
      <c r="A1147" s="4" t="s">
        <v>1818</v>
      </c>
      <c r="B1147" t="str">
        <f>VLOOKUP(A1147,sales_dataset!I:J,2,0)</f>
        <v>Ohio</v>
      </c>
      <c r="C1147" t="str">
        <f>VLOOKUP(A1147,sales_dataset!I:K,3,0)</f>
        <v>Cincinnati</v>
      </c>
      <c r="D1147" t="str">
        <f>IFERROR(_xlfn.XLOOKUP(A1147,sales_dataset!I:I,sales_dataset!G:G),"Not Found")</f>
        <v>COD</v>
      </c>
    </row>
    <row r="1148" spans="1:4">
      <c r="A1148" s="6" t="s">
        <v>1820</v>
      </c>
      <c r="B1148" t="str">
        <f>VLOOKUP(A1148,sales_dataset!I:J,2,0)</f>
        <v>Illinois</v>
      </c>
      <c r="C1148" t="str">
        <f>VLOOKUP(A1148,sales_dataset!I:K,3,0)</f>
        <v>Springfield</v>
      </c>
      <c r="D1148" t="str">
        <f>IFERROR(_xlfn.XLOOKUP(A1148,sales_dataset!I:I,sales_dataset!G:G),"Not Found")</f>
        <v>COD</v>
      </c>
    </row>
    <row r="1149" spans="1:4">
      <c r="A1149" s="4" t="s">
        <v>1822</v>
      </c>
      <c r="B1149" t="str">
        <f>VLOOKUP(A1149,sales_dataset!I:J,2,0)</f>
        <v>Ohio</v>
      </c>
      <c r="C1149" t="str">
        <f>VLOOKUP(A1149,sales_dataset!I:K,3,0)</f>
        <v>Cincinnati</v>
      </c>
      <c r="D1149" t="str">
        <f>IFERROR(_xlfn.XLOOKUP(A1149,sales_dataset!I:I,sales_dataset!G:G),"Not Found")</f>
        <v>Debit Card</v>
      </c>
    </row>
    <row r="1150" spans="1:4">
      <c r="A1150" s="6" t="s">
        <v>1823</v>
      </c>
      <c r="B1150" t="str">
        <f>VLOOKUP(A1150,sales_dataset!I:J,2,0)</f>
        <v>New York</v>
      </c>
      <c r="C1150" t="str">
        <f>VLOOKUP(A1150,sales_dataset!I:K,3,0)</f>
        <v>Buffalo</v>
      </c>
      <c r="D1150" t="str">
        <f>IFERROR(_xlfn.XLOOKUP(A1150,sales_dataset!I:I,sales_dataset!G:G),"Not Found")</f>
        <v>Debit Card</v>
      </c>
    </row>
    <row r="1151" spans="1:4">
      <c r="A1151" s="4" t="s">
        <v>1825</v>
      </c>
      <c r="B1151" t="str">
        <f>VLOOKUP(A1151,sales_dataset!I:J,2,0)</f>
        <v>Ohio</v>
      </c>
      <c r="C1151" t="str">
        <f>VLOOKUP(A1151,sales_dataset!I:K,3,0)</f>
        <v>Cincinnati</v>
      </c>
      <c r="D1151" t="str">
        <f>IFERROR(_xlfn.XLOOKUP(A1151,sales_dataset!I:I,sales_dataset!G:G),"Not Found")</f>
        <v>Debit Card</v>
      </c>
    </row>
    <row r="1152" spans="1:4">
      <c r="A1152" s="6" t="s">
        <v>1826</v>
      </c>
      <c r="B1152" t="str">
        <f>VLOOKUP(A1152,sales_dataset!I:J,2,0)</f>
        <v>New York</v>
      </c>
      <c r="C1152" t="str">
        <f>VLOOKUP(A1152,sales_dataset!I:K,3,0)</f>
        <v>New York City</v>
      </c>
      <c r="D1152" t="str">
        <f>IFERROR(_xlfn.XLOOKUP(A1152,sales_dataset!I:I,sales_dataset!G:G),"Not Found")</f>
        <v>Debit Card</v>
      </c>
    </row>
    <row r="1153" spans="1:4">
      <c r="A1153" s="6" t="s">
        <v>617</v>
      </c>
      <c r="B1153" t="str">
        <f>VLOOKUP(A1153,sales_dataset!I:J,2,0)</f>
        <v>New York</v>
      </c>
      <c r="C1153" t="str">
        <f>VLOOKUP(A1153,sales_dataset!I:K,3,0)</f>
        <v>Rochester</v>
      </c>
      <c r="D1153" t="str">
        <f>IFERROR(_xlfn.XLOOKUP(A1153,sales_dataset!I:I,sales_dataset!G:G),"Not Found")</f>
        <v>EMI</v>
      </c>
    </row>
    <row r="1154" spans="1:4">
      <c r="A1154" s="6" t="s">
        <v>815</v>
      </c>
      <c r="B1154" t="str">
        <f>VLOOKUP(A1154,sales_dataset!I:J,2,0)</f>
        <v>New York</v>
      </c>
      <c r="C1154" t="str">
        <f>VLOOKUP(A1154,sales_dataset!I:K,3,0)</f>
        <v>Rochester</v>
      </c>
      <c r="D1154" t="str">
        <f>IFERROR(_xlfn.XLOOKUP(A1154,sales_dataset!I:I,sales_dataset!G:G),"Not Found")</f>
        <v>Credit Card</v>
      </c>
    </row>
    <row r="1155" spans="1:4">
      <c r="A1155" s="6" t="s">
        <v>556</v>
      </c>
      <c r="B1155" t="str">
        <f>VLOOKUP(A1155,sales_dataset!I:J,2,0)</f>
        <v>Illinois</v>
      </c>
      <c r="C1155" t="str">
        <f>VLOOKUP(A1155,sales_dataset!I:K,3,0)</f>
        <v>Peoria</v>
      </c>
      <c r="D1155" t="str">
        <f>IFERROR(_xlfn.XLOOKUP(A1155,sales_dataset!I:I,sales_dataset!G:G),"Not Found")</f>
        <v>Credit Card</v>
      </c>
    </row>
    <row r="1156" spans="1:4">
      <c r="A1156" s="4" t="s">
        <v>558</v>
      </c>
      <c r="B1156" t="str">
        <f>VLOOKUP(A1156,sales_dataset!I:J,2,0)</f>
        <v>New York</v>
      </c>
      <c r="C1156" t="str">
        <f>VLOOKUP(A1156,sales_dataset!I:K,3,0)</f>
        <v>Buffalo</v>
      </c>
      <c r="D1156" t="str">
        <f>IFERROR(_xlfn.XLOOKUP(A1156,sales_dataset!I:I,sales_dataset!G:G),"Not Found")</f>
        <v>Credit Card</v>
      </c>
    </row>
    <row r="1157" spans="1:4">
      <c r="A1157" s="6" t="s">
        <v>1829</v>
      </c>
      <c r="B1157" t="str">
        <f>VLOOKUP(A1157,sales_dataset!I:J,2,0)</f>
        <v>Ohio</v>
      </c>
      <c r="C1157" t="str">
        <f>VLOOKUP(A1157,sales_dataset!I:K,3,0)</f>
        <v>Cleveland</v>
      </c>
      <c r="D1157" t="str">
        <f>IFERROR(_xlfn.XLOOKUP(A1157,sales_dataset!I:I,sales_dataset!G:G),"Not Found")</f>
        <v>Credit Card</v>
      </c>
    </row>
    <row r="1158" spans="1:4">
      <c r="A1158" s="4" t="s">
        <v>1831</v>
      </c>
      <c r="B1158" t="str">
        <f>VLOOKUP(A1158,sales_dataset!I:J,2,0)</f>
        <v>Florida</v>
      </c>
      <c r="C1158" t="str">
        <f>VLOOKUP(A1158,sales_dataset!I:K,3,0)</f>
        <v>Miami</v>
      </c>
      <c r="D1158" t="str">
        <f>IFERROR(_xlfn.XLOOKUP(A1158,sales_dataset!I:I,sales_dataset!G:G),"Not Found")</f>
        <v>Credit Card</v>
      </c>
    </row>
    <row r="1159" spans="1:4">
      <c r="A1159" s="6" t="s">
        <v>1832</v>
      </c>
      <c r="B1159" t="str">
        <f>VLOOKUP(A1159,sales_dataset!I:J,2,0)</f>
        <v>New York</v>
      </c>
      <c r="C1159" t="str">
        <f>VLOOKUP(A1159,sales_dataset!I:K,3,0)</f>
        <v>Buffalo</v>
      </c>
      <c r="D1159" t="str">
        <f>IFERROR(_xlfn.XLOOKUP(A1159,sales_dataset!I:I,sales_dataset!G:G),"Not Found")</f>
        <v>Credit Card</v>
      </c>
    </row>
    <row r="1160" spans="1:4">
      <c r="A1160" s="4" t="s">
        <v>1834</v>
      </c>
      <c r="B1160" t="str">
        <f>VLOOKUP(A1160,sales_dataset!I:J,2,0)</f>
        <v>New York</v>
      </c>
      <c r="C1160" t="str">
        <f>VLOOKUP(A1160,sales_dataset!I:K,3,0)</f>
        <v>New York City</v>
      </c>
      <c r="D1160" t="str">
        <f>IFERROR(_xlfn.XLOOKUP(A1160,sales_dataset!I:I,sales_dataset!G:G),"Not Found")</f>
        <v>Credit Card</v>
      </c>
    </row>
    <row r="1161" spans="1:4">
      <c r="A1161" s="6" t="s">
        <v>1835</v>
      </c>
      <c r="B1161" t="str">
        <f>VLOOKUP(A1161,sales_dataset!I:J,2,0)</f>
        <v>Florida</v>
      </c>
      <c r="C1161" t="str">
        <f>VLOOKUP(A1161,sales_dataset!I:K,3,0)</f>
        <v>Orlando</v>
      </c>
      <c r="D1161" t="str">
        <f>IFERROR(_xlfn.XLOOKUP(A1161,sales_dataset!I:I,sales_dataset!G:G),"Not Found")</f>
        <v>Credit Card</v>
      </c>
    </row>
    <row r="1162" spans="1:4">
      <c r="A1162" s="4" t="s">
        <v>1837</v>
      </c>
      <c r="B1162" t="str">
        <f>VLOOKUP(A1162,sales_dataset!I:J,2,0)</f>
        <v>New York</v>
      </c>
      <c r="C1162" t="str">
        <f>VLOOKUP(A1162,sales_dataset!I:K,3,0)</f>
        <v>Rochester</v>
      </c>
      <c r="D1162" t="str">
        <f>IFERROR(_xlfn.XLOOKUP(A1162,sales_dataset!I:I,sales_dataset!G:G),"Not Found")</f>
        <v>Credit Card</v>
      </c>
    </row>
    <row r="1163" spans="1:4">
      <c r="A1163" s="4" t="s">
        <v>1839</v>
      </c>
      <c r="B1163" t="str">
        <f>VLOOKUP(A1163,sales_dataset!I:J,2,0)</f>
        <v>Ohio</v>
      </c>
      <c r="C1163" t="str">
        <f>VLOOKUP(A1163,sales_dataset!I:K,3,0)</f>
        <v>Columbus</v>
      </c>
      <c r="D1163" t="str">
        <f>IFERROR(_xlfn.XLOOKUP(A1163,sales_dataset!I:I,sales_dataset!G:G),"Not Found")</f>
        <v>UPI</v>
      </c>
    </row>
    <row r="1164" spans="1:4">
      <c r="A1164" s="6" t="s">
        <v>1841</v>
      </c>
      <c r="B1164" t="str">
        <f>VLOOKUP(A1164,sales_dataset!I:J,2,0)</f>
        <v>Texas</v>
      </c>
      <c r="C1164" t="str">
        <f>VLOOKUP(A1164,sales_dataset!I:K,3,0)</f>
        <v>Austin</v>
      </c>
      <c r="D1164" t="str">
        <f>IFERROR(_xlfn.XLOOKUP(A1164,sales_dataset!I:I,sales_dataset!G:G),"Not Found")</f>
        <v>UPI</v>
      </c>
    </row>
    <row r="1165" spans="1:4">
      <c r="A1165" s="6" t="s">
        <v>1843</v>
      </c>
      <c r="B1165" t="str">
        <f>VLOOKUP(A1165,sales_dataset!I:J,2,0)</f>
        <v>Texas</v>
      </c>
      <c r="C1165" t="str">
        <f>VLOOKUP(A1165,sales_dataset!I:K,3,0)</f>
        <v>Austin</v>
      </c>
      <c r="D1165" t="str">
        <f>IFERROR(_xlfn.XLOOKUP(A1165,sales_dataset!I:I,sales_dataset!G:G),"Not Found")</f>
        <v>Credit Card</v>
      </c>
    </row>
    <row r="1166" spans="1:4">
      <c r="A1166" s="6" t="s">
        <v>1846</v>
      </c>
      <c r="B1166" t="str">
        <f>VLOOKUP(A1166,sales_dataset!I:J,2,0)</f>
        <v>Florida</v>
      </c>
      <c r="C1166" t="str">
        <f>VLOOKUP(A1166,sales_dataset!I:K,3,0)</f>
        <v>Tampa</v>
      </c>
      <c r="D1166" t="str">
        <f>IFERROR(_xlfn.XLOOKUP(A1166,sales_dataset!I:I,sales_dataset!G:G),"Not Found")</f>
        <v>COD</v>
      </c>
    </row>
    <row r="1167" spans="1:4">
      <c r="A1167" s="4" t="s">
        <v>1555</v>
      </c>
      <c r="B1167" t="str">
        <f>VLOOKUP(A1167,sales_dataset!I:J,2,0)</f>
        <v>New York</v>
      </c>
      <c r="C1167" t="str">
        <f>VLOOKUP(A1167,sales_dataset!I:K,3,0)</f>
        <v>Buffalo</v>
      </c>
      <c r="D1167" t="str">
        <f>IFERROR(_xlfn.XLOOKUP(A1167,sales_dataset!I:I,sales_dataset!G:G),"Not Found")</f>
        <v>COD</v>
      </c>
    </row>
    <row r="1168" spans="1:4">
      <c r="A1168" s="6" t="s">
        <v>1557</v>
      </c>
      <c r="B1168" t="str">
        <f>VLOOKUP(A1168,sales_dataset!I:J,2,0)</f>
        <v>Texas</v>
      </c>
      <c r="C1168" t="str">
        <f>VLOOKUP(A1168,sales_dataset!I:K,3,0)</f>
        <v>Houston</v>
      </c>
      <c r="D1168" t="str">
        <f>IFERROR(_xlfn.XLOOKUP(A1168,sales_dataset!I:I,sales_dataset!G:G),"Not Found")</f>
        <v>COD</v>
      </c>
    </row>
    <row r="1169" spans="1:4">
      <c r="A1169" s="4" t="s">
        <v>1848</v>
      </c>
      <c r="B1169" t="str">
        <f>VLOOKUP(A1169,sales_dataset!I:J,2,0)</f>
        <v>Texas</v>
      </c>
      <c r="C1169" t="str">
        <f>VLOOKUP(A1169,sales_dataset!I:K,3,0)</f>
        <v>Houston</v>
      </c>
      <c r="D1169" t="str">
        <f>IFERROR(_xlfn.XLOOKUP(A1169,sales_dataset!I:I,sales_dataset!G:G),"Not Found")</f>
        <v>EMI</v>
      </c>
    </row>
    <row r="1170" spans="1:4">
      <c r="A1170" s="4" t="s">
        <v>1851</v>
      </c>
      <c r="B1170" t="str">
        <f>VLOOKUP(A1170,sales_dataset!I:J,2,0)</f>
        <v>New York</v>
      </c>
      <c r="C1170" t="str">
        <f>VLOOKUP(A1170,sales_dataset!I:K,3,0)</f>
        <v>Buffalo</v>
      </c>
      <c r="D1170" t="str">
        <f>IFERROR(_xlfn.XLOOKUP(A1170,sales_dataset!I:I,sales_dataset!G:G),"Not Found")</f>
        <v>Debit Card</v>
      </c>
    </row>
    <row r="1171" spans="1:4">
      <c r="A1171" s="6" t="s">
        <v>1853</v>
      </c>
      <c r="B1171" t="str">
        <f>VLOOKUP(A1171,sales_dataset!I:J,2,0)</f>
        <v>Florida</v>
      </c>
      <c r="C1171" t="str">
        <f>VLOOKUP(A1171,sales_dataset!I:K,3,0)</f>
        <v>Orlando</v>
      </c>
      <c r="D1171" t="str">
        <f>IFERROR(_xlfn.XLOOKUP(A1171,sales_dataset!I:I,sales_dataset!G:G),"Not Found")</f>
        <v>Debit Card</v>
      </c>
    </row>
    <row r="1172" spans="1:4">
      <c r="A1172" s="4" t="s">
        <v>630</v>
      </c>
      <c r="B1172" t="str">
        <f>VLOOKUP(A1172,sales_dataset!I:J,2,0)</f>
        <v>California</v>
      </c>
      <c r="C1172" t="str">
        <f>VLOOKUP(A1172,sales_dataset!I:K,3,0)</f>
        <v>San Diego</v>
      </c>
      <c r="D1172" t="str">
        <f>IFERROR(_xlfn.XLOOKUP(A1172,sales_dataset!I:I,sales_dataset!G:G),"Not Found")</f>
        <v>EMI</v>
      </c>
    </row>
    <row r="1173" spans="1:4">
      <c r="A1173" s="4" t="s">
        <v>1856</v>
      </c>
      <c r="B1173" t="str">
        <f>VLOOKUP(A1173,sales_dataset!I:J,2,0)</f>
        <v>Illinois</v>
      </c>
      <c r="C1173" t="str">
        <f>VLOOKUP(A1173,sales_dataset!I:K,3,0)</f>
        <v>Peoria</v>
      </c>
      <c r="D1173" t="str">
        <f>IFERROR(_xlfn.XLOOKUP(A1173,sales_dataset!I:I,sales_dataset!G:G),"Not Found")</f>
        <v>Credit Card</v>
      </c>
    </row>
    <row r="1174" spans="1:4">
      <c r="A1174" s="6" t="s">
        <v>1577</v>
      </c>
      <c r="B1174" t="str">
        <f>VLOOKUP(A1174,sales_dataset!I:J,2,0)</f>
        <v>New York</v>
      </c>
      <c r="C1174" t="str">
        <f>VLOOKUP(A1174,sales_dataset!I:K,3,0)</f>
        <v>Buffalo</v>
      </c>
      <c r="D1174" t="str">
        <f>IFERROR(_xlfn.XLOOKUP(A1174,sales_dataset!I:I,sales_dataset!G:G),"Not Found")</f>
        <v>Credit Card</v>
      </c>
    </row>
    <row r="1175" spans="1:4">
      <c r="A1175" s="4" t="s">
        <v>1578</v>
      </c>
      <c r="B1175" t="str">
        <f>VLOOKUP(A1175,sales_dataset!I:J,2,0)</f>
        <v>New York</v>
      </c>
      <c r="C1175" t="str">
        <f>VLOOKUP(A1175,sales_dataset!I:K,3,0)</f>
        <v>Rochester</v>
      </c>
      <c r="D1175" t="str">
        <f>IFERROR(_xlfn.XLOOKUP(A1175,sales_dataset!I:I,sales_dataset!G:G),"Not Found")</f>
        <v>Credit Card</v>
      </c>
    </row>
    <row r="1176" spans="1:4">
      <c r="A1176" s="6" t="s">
        <v>1858</v>
      </c>
      <c r="B1176" t="str">
        <f>VLOOKUP(A1176,sales_dataset!I:J,2,0)</f>
        <v>New York</v>
      </c>
      <c r="C1176" t="str">
        <f>VLOOKUP(A1176,sales_dataset!I:K,3,0)</f>
        <v>Buffalo</v>
      </c>
      <c r="D1176" t="str">
        <f>IFERROR(_xlfn.XLOOKUP(A1176,sales_dataset!I:I,sales_dataset!G:G),"Not Found")</f>
        <v>Debit Card</v>
      </c>
    </row>
    <row r="1177" spans="1:4">
      <c r="A1177" s="4" t="s">
        <v>1859</v>
      </c>
      <c r="B1177" t="str">
        <f>VLOOKUP(A1177,sales_dataset!I:J,2,0)</f>
        <v>Florida</v>
      </c>
      <c r="C1177" t="str">
        <f>VLOOKUP(A1177,sales_dataset!I:K,3,0)</f>
        <v>Miami</v>
      </c>
      <c r="D1177" t="str">
        <f>IFERROR(_xlfn.XLOOKUP(A1177,sales_dataset!I:I,sales_dataset!G:G),"Not Found")</f>
        <v>Debit Card</v>
      </c>
    </row>
    <row r="1178" spans="1:4">
      <c r="A1178" s="6" t="s">
        <v>1860</v>
      </c>
      <c r="B1178" t="str">
        <f>VLOOKUP(A1178,sales_dataset!I:J,2,0)</f>
        <v>Texas</v>
      </c>
      <c r="C1178" t="str">
        <f>VLOOKUP(A1178,sales_dataset!I:K,3,0)</f>
        <v>Austin</v>
      </c>
      <c r="D1178" t="str">
        <f>IFERROR(_xlfn.XLOOKUP(A1178,sales_dataset!I:I,sales_dataset!G:G),"Not Found")</f>
        <v>Debit Card</v>
      </c>
    </row>
    <row r="1179" spans="1:4">
      <c r="A1179" s="4" t="s">
        <v>1457</v>
      </c>
      <c r="B1179" t="str">
        <f>VLOOKUP(A1179,sales_dataset!I:J,2,0)</f>
        <v>California</v>
      </c>
      <c r="C1179" t="str">
        <f>VLOOKUP(A1179,sales_dataset!I:K,3,0)</f>
        <v>Los Angeles</v>
      </c>
      <c r="D1179" t="str">
        <f>IFERROR(_xlfn.XLOOKUP(A1179,sales_dataset!I:I,sales_dataset!G:G),"Not Found")</f>
        <v>Credit Card</v>
      </c>
    </row>
    <row r="1180" spans="1:4">
      <c r="A1180" s="4" t="s">
        <v>1862</v>
      </c>
      <c r="B1180" t="str">
        <f>VLOOKUP(A1180,sales_dataset!I:J,2,0)</f>
        <v>Texas</v>
      </c>
      <c r="C1180" t="str">
        <f>VLOOKUP(A1180,sales_dataset!I:K,3,0)</f>
        <v>Houston</v>
      </c>
      <c r="D1180" t="str">
        <f>IFERROR(_xlfn.XLOOKUP(A1180,sales_dataset!I:I,sales_dataset!G:G),"Not Found")</f>
        <v>Debit Card</v>
      </c>
    </row>
    <row r="1181" spans="1:4">
      <c r="A1181" s="6" t="s">
        <v>1863</v>
      </c>
      <c r="B1181" t="str">
        <f>VLOOKUP(A1181,sales_dataset!I:J,2,0)</f>
        <v>New York</v>
      </c>
      <c r="C1181" t="str">
        <f>VLOOKUP(A1181,sales_dataset!I:K,3,0)</f>
        <v>Buffalo</v>
      </c>
      <c r="D1181" t="str">
        <f>IFERROR(_xlfn.XLOOKUP(A1181,sales_dataset!I:I,sales_dataset!G:G),"Not Found")</f>
        <v>Debit Card</v>
      </c>
    </row>
    <row r="1182" spans="1:4">
      <c r="A1182" s="4" t="s">
        <v>1865</v>
      </c>
      <c r="B1182" t="str">
        <f>VLOOKUP(A1182,sales_dataset!I:J,2,0)</f>
        <v>Illinois</v>
      </c>
      <c r="C1182" t="str">
        <f>VLOOKUP(A1182,sales_dataset!I:K,3,0)</f>
        <v>Peoria</v>
      </c>
      <c r="D1182" t="str">
        <f>IFERROR(_xlfn.XLOOKUP(A1182,sales_dataset!I:I,sales_dataset!G:G),"Not Found")</f>
        <v>EMI</v>
      </c>
    </row>
    <row r="1183" spans="1:4">
      <c r="A1183" s="4" t="s">
        <v>220</v>
      </c>
      <c r="B1183" t="str">
        <f>VLOOKUP(A1183,sales_dataset!I:J,2,0)</f>
        <v>Illinois</v>
      </c>
      <c r="C1183" t="str">
        <f>VLOOKUP(A1183,sales_dataset!I:K,3,0)</f>
        <v>Springfield</v>
      </c>
      <c r="D1183" t="str">
        <f>IFERROR(_xlfn.XLOOKUP(A1183,sales_dataset!I:I,sales_dataset!G:G),"Not Found")</f>
        <v>UPI</v>
      </c>
    </row>
    <row r="1184" spans="1:4">
      <c r="A1184" s="4" t="s">
        <v>1253</v>
      </c>
      <c r="B1184" t="str">
        <f>VLOOKUP(A1184,sales_dataset!I:J,2,0)</f>
        <v>New York</v>
      </c>
      <c r="C1184" t="str">
        <f>VLOOKUP(A1184,sales_dataset!I:K,3,0)</f>
        <v>Buffalo</v>
      </c>
      <c r="D1184" t="str">
        <f>IFERROR(_xlfn.XLOOKUP(A1184,sales_dataset!I:I,sales_dataset!G:G),"Not Found")</f>
        <v>Debit Card</v>
      </c>
    </row>
    <row r="1185" spans="1:4">
      <c r="A1185" s="6" t="s">
        <v>1868</v>
      </c>
      <c r="B1185" t="str">
        <f>VLOOKUP(A1185,sales_dataset!I:J,2,0)</f>
        <v>Illinois</v>
      </c>
      <c r="C1185" t="str">
        <f>VLOOKUP(A1185,sales_dataset!I:K,3,0)</f>
        <v>Chicago</v>
      </c>
      <c r="D1185" t="str">
        <f>IFERROR(_xlfn.XLOOKUP(A1185,sales_dataset!I:I,sales_dataset!G:G),"Not Found")</f>
        <v>Credit Card</v>
      </c>
    </row>
    <row r="1186" spans="1:4">
      <c r="A1186" s="4" t="s">
        <v>1870</v>
      </c>
      <c r="B1186" t="str">
        <f>VLOOKUP(A1186,sales_dataset!I:J,2,0)</f>
        <v>Texas</v>
      </c>
      <c r="C1186" t="str">
        <f>VLOOKUP(A1186,sales_dataset!I:K,3,0)</f>
        <v>Dallas</v>
      </c>
      <c r="D1186" t="str">
        <f>IFERROR(_xlfn.XLOOKUP(A1186,sales_dataset!I:I,sales_dataset!G:G),"Not Found")</f>
        <v>EMI</v>
      </c>
    </row>
    <row r="1187" spans="1:4">
      <c r="A1187" s="4" t="s">
        <v>1438</v>
      </c>
      <c r="B1187" t="str">
        <f>VLOOKUP(A1187,sales_dataset!I:J,2,0)</f>
        <v>Ohio</v>
      </c>
      <c r="C1187" t="str">
        <f>VLOOKUP(A1187,sales_dataset!I:K,3,0)</f>
        <v>Columbus</v>
      </c>
      <c r="D1187" t="str">
        <f>IFERROR(_xlfn.XLOOKUP(A1187,sales_dataset!I:I,sales_dataset!G:G),"Not Found")</f>
        <v>EMI</v>
      </c>
    </row>
    <row r="1188" spans="1:4">
      <c r="A1188" s="6" t="s">
        <v>1439</v>
      </c>
      <c r="B1188" t="str">
        <f>VLOOKUP(A1188,sales_dataset!I:J,2,0)</f>
        <v>California</v>
      </c>
      <c r="C1188" t="str">
        <f>VLOOKUP(A1188,sales_dataset!I:K,3,0)</f>
        <v>San Francisco</v>
      </c>
      <c r="D1188" t="str">
        <f>IFERROR(_xlfn.XLOOKUP(A1188,sales_dataset!I:I,sales_dataset!G:G),"Not Found")</f>
        <v>EMI</v>
      </c>
    </row>
    <row r="1189" spans="1:4">
      <c r="A1189" s="6" t="s">
        <v>1829</v>
      </c>
      <c r="B1189" t="str">
        <f>VLOOKUP(A1189,sales_dataset!I:J,2,0)</f>
        <v>Ohio</v>
      </c>
      <c r="C1189" t="str">
        <f>VLOOKUP(A1189,sales_dataset!I:K,3,0)</f>
        <v>Cleveland</v>
      </c>
      <c r="D1189" t="str">
        <f>IFERROR(_xlfn.XLOOKUP(A1189,sales_dataset!I:I,sales_dataset!G:G),"Not Found")</f>
        <v>Credit Card</v>
      </c>
    </row>
    <row r="1190" spans="1:4">
      <c r="A1190" s="4" t="s">
        <v>1831</v>
      </c>
      <c r="B1190" t="str">
        <f>VLOOKUP(A1190,sales_dataset!I:J,2,0)</f>
        <v>Florida</v>
      </c>
      <c r="C1190" t="str">
        <f>VLOOKUP(A1190,sales_dataset!I:K,3,0)</f>
        <v>Miami</v>
      </c>
      <c r="D1190" t="str">
        <f>IFERROR(_xlfn.XLOOKUP(A1190,sales_dataset!I:I,sales_dataset!G:G),"Not Found")</f>
        <v>Credit Card</v>
      </c>
    </row>
    <row r="1191" spans="1:4">
      <c r="A1191" s="6" t="s">
        <v>1832</v>
      </c>
      <c r="B1191" t="str">
        <f>VLOOKUP(A1191,sales_dataset!I:J,2,0)</f>
        <v>New York</v>
      </c>
      <c r="C1191" t="str">
        <f>VLOOKUP(A1191,sales_dataset!I:K,3,0)</f>
        <v>Buffalo</v>
      </c>
      <c r="D1191" t="str">
        <f>IFERROR(_xlfn.XLOOKUP(A1191,sales_dataset!I:I,sales_dataset!G:G),"Not Found")</f>
        <v>Credit Card</v>
      </c>
    </row>
    <row r="1192" spans="1:4">
      <c r="A1192" s="4" t="s">
        <v>1834</v>
      </c>
      <c r="B1192" t="str">
        <f>VLOOKUP(A1192,sales_dataset!I:J,2,0)</f>
        <v>New York</v>
      </c>
      <c r="C1192" t="str">
        <f>VLOOKUP(A1192,sales_dataset!I:K,3,0)</f>
        <v>New York City</v>
      </c>
      <c r="D1192" t="str">
        <f>IFERROR(_xlfn.XLOOKUP(A1192,sales_dataset!I:I,sales_dataset!G:G),"Not Found")</f>
        <v>Credit Card</v>
      </c>
    </row>
    <row r="1193" spans="1:4">
      <c r="A1193" s="6" t="s">
        <v>1835</v>
      </c>
      <c r="B1193" t="str">
        <f>VLOOKUP(A1193,sales_dataset!I:J,2,0)</f>
        <v>Florida</v>
      </c>
      <c r="C1193" t="str">
        <f>VLOOKUP(A1193,sales_dataset!I:K,3,0)</f>
        <v>Orlando</v>
      </c>
      <c r="D1193" t="str">
        <f>IFERROR(_xlfn.XLOOKUP(A1193,sales_dataset!I:I,sales_dataset!G:G),"Not Found")</f>
        <v>Credit Card</v>
      </c>
    </row>
    <row r="1194" spans="1:4">
      <c r="A1194" s="4" t="s">
        <v>1837</v>
      </c>
      <c r="B1194" t="str">
        <f>VLOOKUP(A1194,sales_dataset!I:J,2,0)</f>
        <v>New York</v>
      </c>
      <c r="C1194" t="str">
        <f>VLOOKUP(A1194,sales_dataset!I:K,3,0)</f>
        <v>Rochester</v>
      </c>
      <c r="D1194" t="str">
        <f>IFERROR(_xlfn.XLOOKUP(A1194,sales_dataset!I:I,sales_dataset!G:G),"Not Found")</f>
        <v>Credit Card</v>
      </c>
    </row>
    <row r="1195" spans="1:4">
      <c r="A1195" s="15" t="s">
        <v>186</v>
      </c>
      <c r="B1195" t="str">
        <f>VLOOKUP(A1195,sales_dataset!I:J,2,0)</f>
        <v>New York</v>
      </c>
      <c r="C1195" t="str">
        <f>VLOOKUP(A1195,sales_dataset!I:K,3,0)</f>
        <v>Buffalo</v>
      </c>
      <c r="D1195" t="str">
        <f>IFERROR(_xlfn.XLOOKUP(A1195,sales_dataset!I:I,sales_dataset!G:G),"Not Found")</f>
        <v>Debit Card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2026-06-14T07:30:32Z</dcterms:created>
  <dcterms:modified xsi:type="dcterms:W3CDTF">2026-06-16T07:43:11Z</dcterms:modified>
  <cp:category/>
  <cp:contentStatus/>
</cp:coreProperties>
</file>